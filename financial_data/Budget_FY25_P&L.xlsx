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lines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3.83203125" customWidth="1"/>
    <col min="2" max="2" width="37.83203125" customWidth="1"/>
  </cols>
  <sheetData>
    <row r="1">
      <c r="A1" t="str">
        <v>Company name</v>
      </c>
      <c r="B1" t="str">
        <v>Marine Exchange of the SF Bay Region</v>
      </c>
    </row>
    <row r="2">
      <c r="A2" t="str">
        <v>Budget name</v>
      </c>
      <c r="B2" t="str">
        <v>Budget_FY25_P&amp;L</v>
      </c>
    </row>
    <row r="3">
      <c r="A3" t="str">
        <v>Budget type</v>
      </c>
      <c r="B3" t="str">
        <v>Profit and loss</v>
      </c>
    </row>
    <row r="4">
      <c r="A4" t="str">
        <v>Period</v>
      </c>
      <c r="B4" t="str">
        <v>FY 2025 (Jul 2024 - Jun 2025)</v>
      </c>
    </row>
    <row r="8">
      <c r="B8" t="str">
        <v>Follow these guidelines when you want to get your budget back to QuickBooks.</v>
      </c>
    </row>
    <row r="9">
      <c r="B9" t="str">
        <v/>
      </c>
    </row>
    <row r="10">
      <c r="B10" t="str">
        <v xml:space="preserve"> QuickBooks uses the budget details on this sheet to read budget type, timeline, categories, and so on. When you update this info and save the budget with a new name and budgeting period, you're creating a new budget.</v>
      </c>
    </row>
    <row r="11">
      <c r="B11" t="str">
        <v>* Do not delete the guidelines sheet.</v>
      </c>
    </row>
    <row r="12">
      <c r="B12" t="str">
        <v>* Do not change the sheet names.</v>
      </c>
    </row>
    <row r="13">
      <c r="B13" t="str">
        <v>* Do not change the row or column labels. Rows with invalid entries will be ignored during upload.</v>
      </c>
    </row>
    <row r="14">
      <c r="B14" t="str">
        <v>* Leave unwanted columns or rows blank. You can edit the budget in QuickBooks once the upload is complete.</v>
      </c>
    </row>
    <row r="15">
      <c r="B15" t="str">
        <v>* Add columns only at the end and not in between.</v>
      </c>
    </row>
    <row r="16">
      <c r="B16" t="str">
        <v>* You can add or remove rows as needed.</v>
      </c>
    </row>
    <row r="17">
      <c r="B17" t="str">
        <v>* The accounts you see in the template are taken from the company chart of accounts to which you want to import your budget.</v>
      </c>
    </row>
    <row r="18">
      <c r="B18" t="str">
        <v>* You can format the template, rename your budget, and add in numbers and formulas.</v>
      </c>
    </row>
    <row r="19">
      <c r="B19" t="str">
        <v>* Enter cell values only between -99,999,999,999 and +99,999,999,999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cols>
    <col min="1" max="1" width="56.83203125" customWidth="1"/>
  </cols>
  <sheetData>
    <row r="1">
      <c r="A1" t="str">
        <v>Consolidated</v>
      </c>
    </row>
    <row r="2">
      <c r="A2" t="str">
        <v>Accounts</v>
      </c>
      <c r="B2" t="str">
        <v>Budget totals</v>
      </c>
    </row>
    <row r="3">
      <c r="A3" t="str">
        <v>Income</v>
      </c>
    </row>
    <row r="4">
      <c r="A4" t="str">
        <v xml:space="preserve">   40000 Reports</v>
      </c>
      <c r="B4">
        <v>122000</v>
      </c>
    </row>
    <row r="5">
      <c r="A5" t="str">
        <v xml:space="preserve">   40200 Feeds</v>
      </c>
      <c r="B5">
        <v>45600</v>
      </c>
    </row>
    <row r="6">
      <c r="A6" t="str">
        <v xml:space="preserve">   40300 Services</v>
      </c>
    </row>
    <row r="7">
      <c r="A7" t="str">
        <v xml:space="preserve">      40301 Infrastructure Monitoring</v>
      </c>
      <c r="B7">
        <v>58000.000000000015</v>
      </c>
    </row>
    <row r="8">
      <c r="A8" t="str">
        <v xml:space="preserve">      40400 Customer Communications</v>
      </c>
    </row>
    <row r="9">
      <c r="A9" t="str">
        <v xml:space="preserve">         40410 Telephone Answering Service</v>
      </c>
      <c r="B9">
        <v>41299.999999999985</v>
      </c>
    </row>
    <row r="10">
      <c r="A10" t="str">
        <v xml:space="preserve">         40420 Marine Information</v>
      </c>
      <c r="B10">
        <v>11800.000000000002</v>
      </c>
    </row>
    <row r="11">
      <c r="A11" t="str">
        <v xml:space="preserve">         40430 Port Logistics Tug Support</v>
      </c>
      <c r="B11">
        <v>16000</v>
      </c>
    </row>
    <row r="12">
      <c r="A12" t="str">
        <v xml:space="preserve">      40500 Radio Remote-Site Communications</v>
      </c>
      <c r="B12">
        <v>20000.000000000004</v>
      </c>
    </row>
    <row r="13">
      <c r="A13" t="str">
        <v xml:space="preserve">         40520 Hold for future</v>
      </c>
    </row>
    <row r="14">
      <c r="A14" t="str">
        <v xml:space="preserve">      40600 Mobile Phone Customer Communications Income</v>
      </c>
      <c r="B14">
        <v>79000</v>
      </c>
    </row>
    <row r="15">
      <c r="A15" t="str">
        <v xml:space="preserve">   40700 Products</v>
      </c>
      <c r="B15">
        <v>0</v>
      </c>
    </row>
    <row r="16">
      <c r="A16" t="str">
        <v xml:space="preserve">      40710 Memorabilia</v>
      </c>
    </row>
    <row r="17">
      <c r="A17" t="str">
        <v xml:space="preserve">   40900 Vessel Movement</v>
      </c>
    </row>
    <row r="18">
      <c r="A18" t="str">
        <v xml:space="preserve">      40910 SFMX</v>
      </c>
      <c r="B18">
        <v>546000</v>
      </c>
    </row>
    <row r="19">
      <c r="A19" t="str">
        <v xml:space="preserve">      40920 OSPR</v>
      </c>
      <c r="B19">
        <v>220000.00000000006</v>
      </c>
    </row>
    <row r="20">
      <c r="A20" t="str">
        <v xml:space="preserve">   41000 Membership Income</v>
      </c>
    </row>
    <row r="21">
      <c r="A21" t="str">
        <v xml:space="preserve">      41010 Public Body</v>
      </c>
      <c r="B21">
        <v>7200</v>
      </c>
    </row>
    <row r="22">
      <c r="A22" t="str">
        <v xml:space="preserve">      41020 Corporate</v>
      </c>
      <c r="B22">
        <v>20499.999999999996</v>
      </c>
    </row>
    <row r="23">
      <c r="A23" t="str">
        <v xml:space="preserve">      41030 Individual</v>
      </c>
      <c r="B23">
        <v>1200</v>
      </c>
    </row>
    <row r="24">
      <c r="A24" t="str">
        <v xml:space="preserve">      41040 Discounts</v>
      </c>
      <c r="B24">
        <v>-5000</v>
      </c>
    </row>
    <row r="25">
      <c r="A25" t="str">
        <v xml:space="preserve">   42000 Contracts</v>
      </c>
    </row>
    <row r="26">
      <c r="A26" t="str">
        <v xml:space="preserve">      42010 PORTS</v>
      </c>
      <c r="B26">
        <v>290774.3</v>
      </c>
    </row>
    <row r="27">
      <c r="A27" t="str">
        <v xml:space="preserve">         42010.5 PORTS Reimbursable</v>
      </c>
    </row>
    <row r="28">
      <c r="A28" t="str">
        <v xml:space="preserve">      42015 MTC</v>
      </c>
    </row>
    <row r="29">
      <c r="A29" t="str">
        <v xml:space="preserve">      42020 Harbor Safety Committee</v>
      </c>
      <c r="B29">
        <v>63513.490000000005</v>
      </c>
    </row>
    <row r="30">
      <c r="A30" t="str">
        <v xml:space="preserve">      42030 PMSA</v>
      </c>
      <c r="B30">
        <v>15000</v>
      </c>
    </row>
    <row r="31">
      <c r="A31" t="str">
        <v xml:space="preserve">      42040 USCG VTS</v>
      </c>
      <c r="B31">
        <v>34200</v>
      </c>
    </row>
    <row r="32">
      <c r="A32" t="str">
        <v xml:space="preserve">      42050 Tug Escort Clearinghouse</v>
      </c>
      <c r="B32">
        <v>900</v>
      </c>
    </row>
    <row r="33">
      <c r="A33" t="str">
        <v xml:space="preserve">      42060 CA Department of Tax and Fee</v>
      </c>
      <c r="B33">
        <v>17364</v>
      </c>
    </row>
    <row r="34">
      <c r="A34" t="str">
        <v xml:space="preserve">      42065 PAWSA Contract</v>
      </c>
    </row>
    <row r="35">
      <c r="A35" t="str">
        <v xml:space="preserve">      42070 AMSC</v>
      </c>
    </row>
    <row r="36">
      <c r="A36" t="str">
        <v xml:space="preserve">   43000 Sponsorships</v>
      </c>
    </row>
    <row r="37">
      <c r="A37" t="str">
        <v xml:space="preserve">   45500 Restricted Grant Income</v>
      </c>
    </row>
    <row r="38">
      <c r="A38" t="str">
        <v xml:space="preserve">   Billable Expenditure Revenue</v>
      </c>
    </row>
    <row r="39">
      <c r="A39" t="str">
        <v xml:space="preserve">   Billable Expense Income</v>
      </c>
    </row>
    <row r="40">
      <c r="A40" t="str">
        <v xml:space="preserve">   Markup</v>
      </c>
    </row>
    <row r="41">
      <c r="A41" t="str">
        <v xml:space="preserve">   Sales of Product Income</v>
      </c>
    </row>
    <row r="42">
      <c r="A42" t="str">
        <v xml:space="preserve">   Unapplied Cash Payment Income</v>
      </c>
    </row>
    <row r="43">
      <c r="A43" t="str">
        <v xml:space="preserve">   Uncategorized Income</v>
      </c>
    </row>
    <row r="44">
      <c r="A44" t="str">
        <v>Total Income</v>
      </c>
      <c r="B44">
        <f>SUM(B3:B43)</f>
        <v>3</v>
      </c>
    </row>
    <row r="45">
      <c r="A45" t="str">
        <v>Cost of Goods Sold</v>
      </c>
    </row>
    <row r="46">
      <c r="A46" t="str">
        <v xml:space="preserve">   50000 Reimbursable Expenses</v>
      </c>
    </row>
    <row r="47">
      <c r="A47" t="str">
        <v xml:space="preserve">      50010 PORTS Reimbursable Expenses</v>
      </c>
      <c r="B47">
        <v>80000</v>
      </c>
    </row>
    <row r="48">
      <c r="A48" t="str">
        <v xml:space="preserve">      50020 PAWSA Costs</v>
      </c>
    </row>
    <row r="49">
      <c r="A49" t="str">
        <v xml:space="preserve">   50060 Mobile Phone Customer Communications</v>
      </c>
      <c r="B49">
        <v>3900</v>
      </c>
    </row>
    <row r="50">
      <c r="A50" t="str">
        <v xml:space="preserve">   50070 Memorbilia</v>
      </c>
    </row>
    <row r="51">
      <c r="A51" t="str">
        <v xml:space="preserve">   50080 Cost of Services</v>
      </c>
    </row>
    <row r="52">
      <c r="A52" t="str">
        <v xml:space="preserve">   50090 Restricted Grant Expense</v>
      </c>
    </row>
    <row r="53">
      <c r="A53" t="str">
        <v xml:space="preserve">   Cost of Goods Sold</v>
      </c>
    </row>
    <row r="54">
      <c r="A54" t="str">
        <v xml:space="preserve">   Inventory Shrinkage</v>
      </c>
    </row>
    <row r="55">
      <c r="A55" t="str">
        <v>Total Cost of Goods Sold</v>
      </c>
      <c r="B55">
        <f>SUM(B45:B54)</f>
        <v>3</v>
      </c>
    </row>
    <row r="56">
      <c r="A56" t="str">
        <v>Expense</v>
      </c>
    </row>
    <row r="57">
      <c r="A57" t="str">
        <v xml:space="preserve">   50100 Computers</v>
      </c>
    </row>
    <row r="58">
      <c r="A58" t="str">
        <v xml:space="preserve">      50110 Processor Hardware</v>
      </c>
      <c r="B58">
        <v>4500</v>
      </c>
    </row>
    <row r="59">
      <c r="A59" t="str">
        <v xml:space="preserve">      50120 Peripheral Hardware</v>
      </c>
      <c r="B59">
        <v>3200.0000000000005</v>
      </c>
    </row>
    <row r="60">
      <c r="A60" t="str">
        <v xml:space="preserve">      50130 Server and Storage Hardware</v>
      </c>
      <c r="B60">
        <v>60000</v>
      </c>
    </row>
    <row r="61">
      <c r="A61" t="str">
        <v xml:space="preserve">      50140 Network Hardware</v>
      </c>
      <c r="B61">
        <v>2000</v>
      </c>
    </row>
    <row r="62">
      <c r="A62" t="str">
        <v xml:space="preserve">   50200 Software</v>
      </c>
    </row>
    <row r="63">
      <c r="A63" t="str">
        <v xml:space="preserve">      50210 Office Software</v>
      </c>
      <c r="B63">
        <v>13000</v>
      </c>
    </row>
    <row r="64">
      <c r="A64" t="str">
        <v xml:space="preserve">      50220 Operations software</v>
      </c>
      <c r="B64">
        <v>9000</v>
      </c>
    </row>
    <row r="65">
      <c r="A65" t="str">
        <v xml:space="preserve">      50230 Special software</v>
      </c>
      <c r="B65">
        <v>6000</v>
      </c>
    </row>
    <row r="66">
      <c r="A66" t="str">
        <v xml:space="preserve">   50300 Communications</v>
      </c>
    </row>
    <row r="67">
      <c r="A67" t="str">
        <v xml:space="preserve">      50310 Communications Hardware</v>
      </c>
      <c r="B67">
        <v>14900</v>
      </c>
    </row>
    <row r="68">
      <c r="A68" t="str">
        <v xml:space="preserve">      50320 Communications Software and Services</v>
      </c>
      <c r="B68">
        <v>22000.000000000004</v>
      </c>
    </row>
    <row r="69">
      <c r="A69" t="str">
        <v xml:space="preserve">   50400 Remote Site</v>
      </c>
    </row>
    <row r="70">
      <c r="A70" t="str">
        <v xml:space="preserve">      50410 Remote Site Hardware</v>
      </c>
      <c r="B70">
        <v>3500.0000000000005</v>
      </c>
    </row>
    <row r="71">
      <c r="A71" t="str">
        <v xml:space="preserve">      50420 Remote Site Property</v>
      </c>
      <c r="B71">
        <v>40999.999999999985</v>
      </c>
    </row>
    <row r="72">
      <c r="A72" t="str">
        <v xml:space="preserve">   50500 Human Capital - Contractors</v>
      </c>
    </row>
    <row r="73">
      <c r="A73" t="str">
        <v xml:space="preserve">      50510 Installation &amp; Maintenance</v>
      </c>
      <c r="B73">
        <v>2000</v>
      </c>
    </row>
    <row r="74">
      <c r="A74" t="str">
        <v xml:space="preserve">      50520 Training &amp; Documentation</v>
      </c>
      <c r="B74">
        <v>500.0000000000001</v>
      </c>
    </row>
    <row r="75">
      <c r="A75" t="str">
        <v xml:space="preserve">   50600 Human Capital - Employees</v>
      </c>
    </row>
    <row r="76">
      <c r="A76" t="str">
        <v xml:space="preserve">      45700 Retention</v>
      </c>
    </row>
    <row r="77">
      <c r="A77" t="str">
        <v xml:space="preserve">      47680 Recruiting</v>
      </c>
    </row>
    <row r="78">
      <c r="A78" t="str">
        <v xml:space="preserve">      48670 Accrued Vacation Expense</v>
      </c>
    </row>
    <row r="79">
      <c r="A79" t="str">
        <v xml:space="preserve">      50610 Gross Salaries &amp; Wages</v>
      </c>
      <c r="B79">
        <v>900500.0000000001</v>
      </c>
    </row>
    <row r="80">
      <c r="A80" t="str">
        <v xml:space="preserve">      50620 Payroll Tax</v>
      </c>
      <c r="B80">
        <v>81045</v>
      </c>
    </row>
    <row r="81">
      <c r="A81" t="str">
        <v xml:space="preserve">      50630 Health Insurance</v>
      </c>
      <c r="B81">
        <v>66000</v>
      </c>
    </row>
    <row r="82">
      <c r="A82" t="str">
        <v xml:space="preserve">      50640 Benefits Administration Fees</v>
      </c>
      <c r="B82">
        <v>10000.000000000002</v>
      </c>
    </row>
    <row r="83">
      <c r="A83" t="str">
        <v xml:space="preserve">      50650 Workers Comp Insurance</v>
      </c>
      <c r="B83">
        <v>10999.999999999998</v>
      </c>
    </row>
    <row r="84">
      <c r="A84" t="str">
        <v xml:space="preserve">      50660 Employer 401K Contribution</v>
      </c>
      <c r="B84">
        <v>27000</v>
      </c>
    </row>
    <row r="85">
      <c r="A85" t="str">
        <v xml:space="preserve">      50670 Professional Development</v>
      </c>
      <c r="B85">
        <v>1000.0000000000001</v>
      </c>
    </row>
    <row r="86">
      <c r="A86" t="str">
        <v xml:space="preserve">      55680 Moral, Well being, Recreation</v>
      </c>
      <c r="B86">
        <v>500.0000000000001</v>
      </c>
    </row>
    <row r="87">
      <c r="A87" t="str">
        <v xml:space="preserve">   50700 Office</v>
      </c>
    </row>
    <row r="88">
      <c r="A88" t="str">
        <v xml:space="preserve">      50710 Furnishings  &amp; Fixtures  &lt; $2500</v>
      </c>
      <c r="B88">
        <v>2300.0000000000005</v>
      </c>
    </row>
    <row r="89">
      <c r="A89" t="str">
        <v xml:space="preserve">      50720 Office Supplies</v>
      </c>
      <c r="B89">
        <v>4800</v>
      </c>
    </row>
    <row r="90">
      <c r="A90" t="str">
        <v xml:space="preserve">      50730 Maintenance &amp; Upkeep</v>
      </c>
      <c r="B90">
        <v>3399.9999999999995</v>
      </c>
    </row>
    <row r="91">
      <c r="A91" t="str">
        <v xml:space="preserve">      50740 Physical Security</v>
      </c>
      <c r="B91">
        <v>200.00000000000006</v>
      </c>
    </row>
    <row r="92">
      <c r="A92" t="str">
        <v xml:space="preserve">   50800 Occupancy</v>
      </c>
    </row>
    <row r="93">
      <c r="A93" t="str">
        <v xml:space="preserve">      50810 Utilities</v>
      </c>
      <c r="B93">
        <v>18999.999999999996</v>
      </c>
    </row>
    <row r="94">
      <c r="A94" t="str">
        <v xml:space="preserve">      50820 HOA Assessments</v>
      </c>
      <c r="B94">
        <v>46600.000000000015</v>
      </c>
    </row>
    <row r="95">
      <c r="A95" t="str">
        <v xml:space="preserve">      50830 Taxes (Property)</v>
      </c>
      <c r="B95">
        <v>25399.999999999996</v>
      </c>
    </row>
    <row r="96">
      <c r="A96" t="str">
        <v xml:space="preserve">      50840 Insurance - Property</v>
      </c>
      <c r="B96">
        <v>2900.0000000000005</v>
      </c>
    </row>
    <row r="97">
      <c r="A97" t="str">
        <v xml:space="preserve">   50900 Operating Expenses</v>
      </c>
    </row>
    <row r="98">
      <c r="A98" t="str">
        <v xml:space="preserve">      50910 Insurance - General</v>
      </c>
      <c r="B98">
        <v>8922.5</v>
      </c>
    </row>
    <row r="99">
      <c r="A99" t="str">
        <v xml:space="preserve">      50920 Business Licenses</v>
      </c>
      <c r="B99">
        <v>100</v>
      </c>
    </row>
    <row r="100">
      <c r="A100" t="str">
        <v xml:space="preserve">      50930 Accounting</v>
      </c>
      <c r="B100">
        <v>36100.00000000001</v>
      </c>
    </row>
    <row r="101">
      <c r="A101" t="str">
        <v xml:space="preserve">      50940 Contracted Services</v>
      </c>
      <c r="B101">
        <v>6600</v>
      </c>
    </row>
    <row r="102">
      <c r="A102" t="str">
        <v xml:space="preserve">      50950 Public Information</v>
      </c>
      <c r="B102">
        <v>25000.000000000004</v>
      </c>
    </row>
    <row r="103">
      <c r="A103" t="str">
        <v xml:space="preserve">      50960 Legal</v>
      </c>
      <c r="B103">
        <v>3999.9999999999995</v>
      </c>
    </row>
    <row r="104">
      <c r="A104" t="str">
        <v xml:space="preserve">      50970 Dues &amp; Subscriptions</v>
      </c>
      <c r="B104">
        <v>700</v>
      </c>
    </row>
    <row r="105">
      <c r="A105" t="str">
        <v xml:space="preserve">      50980 Bank Charges</v>
      </c>
      <c r="B105">
        <v>3500.0000000000005</v>
      </c>
    </row>
    <row r="106">
      <c r="A106" t="str">
        <v xml:space="preserve">      50990 Membership</v>
      </c>
      <c r="B106">
        <v>8000</v>
      </c>
    </row>
    <row r="107">
      <c r="A107" t="str">
        <v xml:space="preserve">      51000 Board of Directors</v>
      </c>
      <c r="B107">
        <v>1000.0000000000001</v>
      </c>
    </row>
    <row r="108">
      <c r="A108" t="str">
        <v xml:space="preserve">      51020 Bad Debt</v>
      </c>
      <c r="B108">
        <v>5000</v>
      </c>
    </row>
    <row r="109">
      <c r="A109" t="str">
        <v xml:space="preserve">   51030 Travel</v>
      </c>
    </row>
    <row r="110">
      <c r="A110" t="str">
        <v xml:space="preserve">      51035 Away</v>
      </c>
      <c r="B110">
        <v>10000.000000000002</v>
      </c>
    </row>
    <row r="111">
      <c r="A111" t="str">
        <v xml:space="preserve">      51040 Local</v>
      </c>
      <c r="B111">
        <v>3000</v>
      </c>
    </row>
    <row r="112">
      <c r="A112" t="str">
        <v xml:space="preserve">   6200 Professional Fees</v>
      </c>
    </row>
    <row r="113">
      <c r="A113" t="str">
        <v xml:space="preserve">      6230 Consulting</v>
      </c>
    </row>
    <row r="114">
      <c r="A114" t="str">
        <v xml:space="preserve">   7200 P.O.R.T.S Operating Expense</v>
      </c>
    </row>
    <row r="115">
      <c r="A115" t="str">
        <v xml:space="preserve">      7270 P.O.R.T.S. Warehouse &amp; Storage</v>
      </c>
    </row>
    <row r="116">
      <c r="A116" t="str">
        <v xml:space="preserve">   8000 General Operating Expenses</v>
      </c>
    </row>
    <row r="117">
      <c r="A117" t="str">
        <v xml:space="preserve">      8010 Bank Service Charges</v>
      </c>
    </row>
    <row r="118">
      <c r="A118" t="str">
        <v xml:space="preserve">      8030 General Insurance</v>
      </c>
    </row>
    <row r="119">
      <c r="A119" t="str">
        <v xml:space="preserve">      8040 Office Expense</v>
      </c>
    </row>
    <row r="120">
      <c r="A120" t="str">
        <v xml:space="preserve">         8043 Office Equipment/ Furniture</v>
      </c>
    </row>
    <row r="121">
      <c r="A121" t="str">
        <v xml:space="preserve">         8045 Postage &amp; Delivery</v>
      </c>
    </row>
    <row r="122">
      <c r="A122" t="str">
        <v xml:space="preserve">   8200 Computer Expense</v>
      </c>
    </row>
    <row r="123">
      <c r="A123" t="str">
        <v xml:space="preserve">      8220 Computer General (Software Subscription)</v>
      </c>
    </row>
    <row r="124">
      <c r="A124" t="str">
        <v xml:space="preserve">      8240 Services</v>
      </c>
    </row>
    <row r="125">
      <c r="A125" t="str">
        <v xml:space="preserve">   8400 Facility &amp; Equipment expenses</v>
      </c>
    </row>
    <row r="126">
      <c r="A126" t="str">
        <v xml:space="preserve">      8420 Occupancy Expenses</v>
      </c>
    </row>
    <row r="127">
      <c r="A127" t="str">
        <v xml:space="preserve">         8421 HOA Dues</v>
      </c>
    </row>
    <row r="128">
      <c r="A128" t="str">
        <v xml:space="preserve">         8440 Property Insurance</v>
      </c>
    </row>
    <row r="129">
      <c r="A129" t="str">
        <v xml:space="preserve">      8430 Office Rent &amp; Utilities</v>
      </c>
    </row>
    <row r="130">
      <c r="A130" t="str">
        <v xml:space="preserve">   8700 Other Business Expenses</v>
      </c>
    </row>
    <row r="131">
      <c r="A131" t="str">
        <v xml:space="preserve">   8800 Travel Expense</v>
      </c>
    </row>
    <row r="132">
      <c r="A132" t="str">
        <v xml:space="preserve">   Melio Service Fees</v>
      </c>
    </row>
    <row r="133">
      <c r="A133" t="str">
        <v xml:space="preserve">   Purchases</v>
      </c>
    </row>
    <row r="134">
      <c r="A134" t="str">
        <v xml:space="preserve">   Unapplied Cash Bill Payment Expense</v>
      </c>
    </row>
    <row r="135">
      <c r="A135" t="str">
        <v xml:space="preserve">   Uncategorized Expense</v>
      </c>
    </row>
    <row r="136">
      <c r="A136" t="str">
        <v>Total Expense</v>
      </c>
      <c r="B136">
        <f>SUM(B56:B135)</f>
        <v>3</v>
      </c>
    </row>
    <row r="137">
      <c r="A137" t="str">
        <v>Other Income</v>
      </c>
    </row>
    <row r="138">
      <c r="A138" t="str">
        <v xml:space="preserve">   9000 Other Income</v>
      </c>
    </row>
    <row r="139">
      <c r="A139" t="str">
        <v xml:space="preserve">      9020 Dividend Income</v>
      </c>
    </row>
    <row r="140">
      <c r="A140" t="str">
        <v xml:space="preserve">      9030 Interest Income</v>
      </c>
    </row>
    <row r="141">
      <c r="A141" t="str">
        <v xml:space="preserve">      9050 Property Rental</v>
      </c>
      <c r="B141">
        <v>34185</v>
      </c>
    </row>
    <row r="142">
      <c r="A142" t="str">
        <v xml:space="preserve">      9060 Utilities Reimbursement Income</v>
      </c>
    </row>
    <row r="143">
      <c r="A143" t="str">
        <v xml:space="preserve">      9070 Credit Card Rewards</v>
      </c>
    </row>
    <row r="144">
      <c r="A144" t="str">
        <v xml:space="preserve">      9075 Donations</v>
      </c>
    </row>
    <row r="145">
      <c r="A145" t="str">
        <v xml:space="preserve">      9080 Realized Gains/Losses on Invest</v>
      </c>
    </row>
    <row r="146">
      <c r="A146" t="str">
        <v xml:space="preserve">      9090 Unrealized Gains/Loss on Invest</v>
      </c>
    </row>
    <row r="147">
      <c r="A147" t="str">
        <v xml:space="preserve">      9095 Recoupment from SFMX Theft</v>
      </c>
      <c r="B147">
        <v>0</v>
      </c>
    </row>
    <row r="148">
      <c r="A148" t="str">
        <v xml:space="preserve">      9096 Insurance Settlement</v>
      </c>
    </row>
    <row r="149">
      <c r="A149" t="str">
        <v xml:space="preserve">   9200 Ports Contract - Equipment reimbursement</v>
      </c>
    </row>
    <row r="150">
      <c r="A150" t="str">
        <v>Total Other Income</v>
      </c>
      <c r="B150">
        <f>SUM(B137:B149)</f>
        <v>3</v>
      </c>
    </row>
    <row r="151">
      <c r="A151" t="str">
        <v>Other Expense</v>
      </c>
    </row>
    <row r="152">
      <c r="A152" t="str">
        <v xml:space="preserve">   9100 Other Expense</v>
      </c>
    </row>
    <row r="153">
      <c r="A153" t="str">
        <v xml:space="preserve">      9110 Interest Expense</v>
      </c>
    </row>
    <row r="154">
      <c r="A154" t="str">
        <v xml:space="preserve">      9120 Mortgage Interest</v>
      </c>
    </row>
    <row r="155">
      <c r="A155" t="str">
        <v xml:space="preserve">      9130 Depreciation Expense</v>
      </c>
    </row>
    <row r="156">
      <c r="A156" t="str">
        <v xml:space="preserve">      9140 Amortization Expense</v>
      </c>
    </row>
    <row r="157">
      <c r="A157" t="str">
        <v xml:space="preserve">      9150 Other Expenses</v>
      </c>
    </row>
    <row r="158">
      <c r="A158" t="str">
        <v xml:space="preserve">   Accounting Forensics</v>
      </c>
    </row>
    <row r="159">
      <c r="A159" t="str">
        <v xml:space="preserve">   Reconciliation Discrepancies</v>
      </c>
    </row>
    <row r="160">
      <c r="A160" t="str">
        <v>Total Other Expense</v>
      </c>
      <c r="B160">
        <f>SUM(B151:B159)</f>
        <v>3</v>
      </c>
    </row>
    <row r="161">
      <c r="A161" t="str">
        <v>Total Net Income</v>
      </c>
      <c r="B161">
        <v>60469.29</v>
      </c>
    </row>
  </sheetData>
  <ignoredErrors>
    <ignoredError numberStoredAsText="1" sqref="A1:B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Guidelines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
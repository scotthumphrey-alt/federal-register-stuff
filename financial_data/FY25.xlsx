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dget vs. Actuals" r:id="rId3" sheetId="1"/>
  </sheets>
</workbook>
</file>

<file path=xl/sharedStrings.xml><?xml version="1.0" encoding="utf-8"?>
<sst xmlns="http://schemas.openxmlformats.org/spreadsheetml/2006/main" count="141" uniqueCount="141">
  <si>
    <t>Total</t>
  </si>
  <si>
    <t>Actual</t>
  </si>
  <si>
    <t>Budget</t>
  </si>
  <si>
    <t>over Budget</t>
  </si>
  <si>
    <t>% of Budget</t>
  </si>
  <si>
    <t>Income</t>
  </si>
  <si>
    <t xml:space="preserve">   40000 Reports</t>
  </si>
  <si>
    <t xml:space="preserve">   40200 Feeds</t>
  </si>
  <si>
    <t xml:space="preserve">   40300 Services</t>
  </si>
  <si>
    <t xml:space="preserve">      40301 Infrastructure Monitoring</t>
  </si>
  <si>
    <t xml:space="preserve">      40400 Customer Communications</t>
  </si>
  <si>
    <t xml:space="preserve">         40410 Telephone Answering Service</t>
  </si>
  <si>
    <t xml:space="preserve">         40420 Marine Information</t>
  </si>
  <si>
    <t xml:space="preserve">         40430 Port Logistics Tug Support</t>
  </si>
  <si>
    <t xml:space="preserve">      Total 40400 Customer Communications</t>
  </si>
  <si>
    <t xml:space="preserve">      40500 Radio Remote-Site Communications</t>
  </si>
  <si>
    <t xml:space="preserve">      40600 Mobile Phone Customer Communications Income</t>
  </si>
  <si>
    <t xml:space="preserve">   Total 40300 Services</t>
  </si>
  <si>
    <t xml:space="preserve">   40700 Products</t>
  </si>
  <si>
    <t xml:space="preserve">   40900 Vessel Movement</t>
  </si>
  <si>
    <t xml:space="preserve">      40910 SFMX</t>
  </si>
  <si>
    <t xml:space="preserve">      40920 OSPR</t>
  </si>
  <si>
    <t xml:space="preserve">   Total 40900 Vessel Movement</t>
  </si>
  <si>
    <t xml:space="preserve">   41000 Membership Income</t>
  </si>
  <si>
    <t xml:space="preserve">      41010 Public Body</t>
  </si>
  <si>
    <t xml:space="preserve">      41020 Corporate</t>
  </si>
  <si>
    <t xml:space="preserve">      41030 Individual</t>
  </si>
  <si>
    <t xml:space="preserve">      41040 Discounts</t>
  </si>
  <si>
    <t xml:space="preserve">   Total 41000 Membership Income</t>
  </si>
  <si>
    <t xml:space="preserve">   42000 Contracts</t>
  </si>
  <si>
    <t xml:space="preserve">      42010 PORTS</t>
  </si>
  <si>
    <t xml:space="preserve">      42020 Harbor Safety Committee</t>
  </si>
  <si>
    <t xml:space="preserve">      42030 PMSA</t>
  </si>
  <si>
    <t xml:space="preserve">      42040 USCG VTS</t>
  </si>
  <si>
    <t xml:space="preserve">      42050 Tug Escort Clearinghouse</t>
  </si>
  <si>
    <t xml:space="preserve">      42060 CA Department of Tax and Fee</t>
  </si>
  <si>
    <t xml:space="preserve">      42065 PAWSA Contract</t>
  </si>
  <si>
    <t xml:space="preserve">   Total 42000 Contracts</t>
  </si>
  <si>
    <t xml:space="preserve">   43000 Sponsorships</t>
  </si>
  <si>
    <t xml:space="preserve">   45500 Restricted Grant Income</t>
  </si>
  <si>
    <t xml:space="preserve">   Sales of Product Income</t>
  </si>
  <si>
    <t>Total Income</t>
  </si>
  <si>
    <t>Cost of Goods Sold</t>
  </si>
  <si>
    <t xml:space="preserve">   50000 Reimbursable Expenses</t>
  </si>
  <si>
    <t xml:space="preserve">      50010 PORTS Reimbursable Expenses</t>
  </si>
  <si>
    <t xml:space="preserve">      50020 PAWSA Costs</t>
  </si>
  <si>
    <t xml:space="preserve">   Total 50000 Reimbursable Expenses</t>
  </si>
  <si>
    <t xml:space="preserve">   50060 Mobile Phone Customer Communications</t>
  </si>
  <si>
    <t xml:space="preserve">   50090 Restricted Grant Expense</t>
  </si>
  <si>
    <t>Total Cost of Goods Sold</t>
  </si>
  <si>
    <t>Gross Profit</t>
  </si>
  <si>
    <t>Expenses</t>
  </si>
  <si>
    <t xml:space="preserve">   50100 Computers</t>
  </si>
  <si>
    <t xml:space="preserve">      50110 Processor Hardware</t>
  </si>
  <si>
    <t xml:space="preserve">      50120 Peripheral Hardware</t>
  </si>
  <si>
    <t xml:space="preserve">      50130 Server and Storage Hardware</t>
  </si>
  <si>
    <t xml:space="preserve">      50140 Network Hardware</t>
  </si>
  <si>
    <t xml:space="preserve">   Total 50100 Computers</t>
  </si>
  <si>
    <t xml:space="preserve">   50200 Software</t>
  </si>
  <si>
    <t xml:space="preserve">      50210 Office Software</t>
  </si>
  <si>
    <t xml:space="preserve">      50220 Operations software</t>
  </si>
  <si>
    <t xml:space="preserve">      50230 Special software</t>
  </si>
  <si>
    <t xml:space="preserve">   Total 50200 Software</t>
  </si>
  <si>
    <t xml:space="preserve">   50300 Communications</t>
  </si>
  <si>
    <t xml:space="preserve">      50310 Communications Hardware</t>
  </si>
  <si>
    <t xml:space="preserve">      50320 Communications Software and Services</t>
  </si>
  <si>
    <t xml:space="preserve">   Total 50300 Communications</t>
  </si>
  <si>
    <t xml:space="preserve">   50400 Remote Site</t>
  </si>
  <si>
    <t xml:space="preserve">      50410 Remote Site Hardware</t>
  </si>
  <si>
    <t xml:space="preserve">      50420 Remote Site Property</t>
  </si>
  <si>
    <t xml:space="preserve">   Total 50400 Remote Site</t>
  </si>
  <si>
    <t xml:space="preserve">   50500 Human Capital - Contractors</t>
  </si>
  <si>
    <t xml:space="preserve">      50510 Installation &amp; Maintenance</t>
  </si>
  <si>
    <t xml:space="preserve">      50520 Training &amp; Documentation</t>
  </si>
  <si>
    <t xml:space="preserve">   Total 50500 Human Capital - Contractors</t>
  </si>
  <si>
    <t xml:space="preserve">   50600 Human Capital - Employees</t>
  </si>
  <si>
    <t xml:space="preserve">      48670 Accrued Vacation Expense</t>
  </si>
  <si>
    <t xml:space="preserve">      50610 Gross Salaries &amp; Wages</t>
  </si>
  <si>
    <t xml:space="preserve">      50620 Payroll Tax</t>
  </si>
  <si>
    <t xml:space="preserve">      50630 Health Insurance</t>
  </si>
  <si>
    <t xml:space="preserve">      50640 Benefits Administration Fees</t>
  </si>
  <si>
    <t xml:space="preserve">      50650 Workers Comp Insurance</t>
  </si>
  <si>
    <t xml:space="preserve">      50660 Employer 401K Contribution</t>
  </si>
  <si>
    <t xml:space="preserve">      50670 Professional Development</t>
  </si>
  <si>
    <t xml:space="preserve">      55680 Moral, Well being, Recreation</t>
  </si>
  <si>
    <t xml:space="preserve">   Total 50600 Human Capital - Employees</t>
  </si>
  <si>
    <t xml:space="preserve">   50700 Office</t>
  </si>
  <si>
    <t xml:space="preserve">      50710 Furnishings  &amp; Fixtures  &lt; $2500</t>
  </si>
  <si>
    <t xml:space="preserve">      50720 Office Supplies</t>
  </si>
  <si>
    <t xml:space="preserve">      50730 Maintenance &amp; Upkeep</t>
  </si>
  <si>
    <t xml:space="preserve">      50740 Physical Security</t>
  </si>
  <si>
    <t xml:space="preserve">   Total 50700 Office</t>
  </si>
  <si>
    <t xml:space="preserve">   50800 Occupancy</t>
  </si>
  <si>
    <t xml:space="preserve">      50810 Utilities</t>
  </si>
  <si>
    <t xml:space="preserve">      50820 HOA Assessments</t>
  </si>
  <si>
    <t xml:space="preserve">      50830 Taxes (Property)</t>
  </si>
  <si>
    <t xml:space="preserve">      50840 Insurance - Property</t>
  </si>
  <si>
    <t xml:space="preserve">   Total 50800 Occupancy</t>
  </si>
  <si>
    <t xml:space="preserve">   50900 Operating Expenses</t>
  </si>
  <si>
    <t xml:space="preserve">      50910 Insurance - General</t>
  </si>
  <si>
    <t xml:space="preserve">      50920 Business Licenses</t>
  </si>
  <si>
    <t xml:space="preserve">      50930 Accounting</t>
  </si>
  <si>
    <t xml:space="preserve">      50940 Contracted Services</t>
  </si>
  <si>
    <t xml:space="preserve">      50950 Public Information</t>
  </si>
  <si>
    <t xml:space="preserve">      50960 Legal</t>
  </si>
  <si>
    <t xml:space="preserve">      50970 Dues &amp; Subscriptions</t>
  </si>
  <si>
    <t xml:space="preserve">      50980 Bank Charges</t>
  </si>
  <si>
    <t xml:space="preserve">      50990 Membership</t>
  </si>
  <si>
    <t xml:space="preserve">      51000 Board of Directors</t>
  </si>
  <si>
    <t xml:space="preserve">      51020 Bad Debt</t>
  </si>
  <si>
    <t xml:space="preserve">   Total 50900 Operating Expenses</t>
  </si>
  <si>
    <t xml:space="preserve">   51030 Travel</t>
  </si>
  <si>
    <t xml:space="preserve">      51035 Away</t>
  </si>
  <si>
    <t xml:space="preserve">      51040 Local</t>
  </si>
  <si>
    <t xml:space="preserve">   Total 51030 Travel</t>
  </si>
  <si>
    <t>Total Expenses</t>
  </si>
  <si>
    <t>Net Operating Income</t>
  </si>
  <si>
    <t>Other Income</t>
  </si>
  <si>
    <t xml:space="preserve">   9000 Other Income</t>
  </si>
  <si>
    <t xml:space="preserve">      9020 Dividend Income</t>
  </si>
  <si>
    <t xml:space="preserve">      9030 Interest Income</t>
  </si>
  <si>
    <t xml:space="preserve">      9050 Property Rental</t>
  </si>
  <si>
    <t xml:space="preserve">      9070 Credit Card Rewards</t>
  </si>
  <si>
    <t xml:space="preserve">      9090 Unrealized Gains/Loss on Invest</t>
  </si>
  <si>
    <t xml:space="preserve">      9095 Recoupment from SFMX Theft</t>
  </si>
  <si>
    <t xml:space="preserve">      9096 Insurance Settlement</t>
  </si>
  <si>
    <t xml:space="preserve">   Total 9000 Other Income</t>
  </si>
  <si>
    <t>Total Other Income</t>
  </si>
  <si>
    <t>Other Expenses</t>
  </si>
  <si>
    <t xml:space="preserve">   9100 Other Expense</t>
  </si>
  <si>
    <t xml:space="preserve">      9110 Interest Expense</t>
  </si>
  <si>
    <t xml:space="preserve">      9130 Depreciation Expense</t>
  </si>
  <si>
    <t xml:space="preserve">      9150 Other Expenses</t>
  </si>
  <si>
    <t xml:space="preserve">   Total 9100 Other Expense</t>
  </si>
  <si>
    <t>Total Other Expenses</t>
  </si>
  <si>
    <t>Net Other Income</t>
  </si>
  <si>
    <t>Net Income</t>
  </si>
  <si>
    <t>Thursday, Jun 18, 2026 05:23:15 PM GMT-7 - Accrual Basis</t>
  </si>
  <si>
    <t>Marine Exchange of the SF Bay Region</t>
  </si>
  <si>
    <t xml:space="preserve">Budget vs. Actuals: Budget_FY25_P&amp;L - FY25 P&amp;L </t>
  </si>
  <si>
    <t>July 2024 - June 2025</t>
  </si>
</sst>
</file>

<file path=xl/styles.xml><?xml version="1.0" encoding="utf-8"?>
<styleSheet xmlns="http://schemas.openxmlformats.org/spreadsheetml/2006/main">
  <numFmts count="2">
    <numFmt numFmtId="164" formatCode="#,##0.00\ _€"/>
    <numFmt numFmtId="165" formatCode="&quot;$&quot;* 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bottom style="thin"/>
    </border>
    <border>
      <top style="thin"/>
    </border>
    <border>
      <top style="thin"/>
      <bottom>
        <color indexed="6"/>
      </bottom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>
      <alignment wrapText="true"/>
    </xf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164" fontId="3" fillId="0" borderId="0" xfId="0" applyNumberFormat="true" applyFont="true">
      <alignment wrapText="true"/>
    </xf>
    <xf numFmtId="164" fontId="3" fillId="0" borderId="0" xfId="0" applyNumberFormat="true" applyFont="true">
      <alignment wrapText="true" horizontal="right"/>
    </xf>
    <xf numFmtId="10" fontId="3" fillId="0" borderId="0" xfId="0" applyNumberFormat="true" applyFont="true">
      <alignment wrapText="true" horizontal="right"/>
    </xf>
    <xf numFmtId="165" fontId="2" fillId="0" borderId="2" xfId="0" applyBorder="true" applyNumberFormat="true" applyFont="true">
      <alignment wrapText="true" horizontal="right"/>
    </xf>
    <xf numFmtId="10" fontId="2" fillId="0" borderId="2" xfId="0" applyBorder="true" applyNumberFormat="true" applyFont="true">
      <alignment wrapText="true" horizontal="right"/>
    </xf>
    <xf numFmtId="165" fontId="2" fillId="0" borderId="3" xfId="0" applyBorder="true" applyNumberFormat="true" applyFont="true">
      <alignment wrapText="true" horizontal="right"/>
    </xf>
    <xf numFmtId="10" fontId="2" fillId="0" borderId="3" xfId="0" applyBorder="true" applyNumberFormat="true" applyFont="true">
      <alignment wrapText="true" horizontal="right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2"/>
  <sheetViews>
    <sheetView workbookViewId="0" tabSelected="true"/>
  </sheetViews>
  <sheetFormatPr defaultRowHeight="15.0"/>
  <cols>
    <col min="1" max="1" width="48.125" customWidth="true"/>
    <col min="2" max="2" width="16.328125" customWidth="true"/>
    <col min="3" max="3" width="16.328125" customWidth="true"/>
    <col min="4" max="4" width="16.328125" customWidth="true"/>
    <col min="5" max="5" width="16.328125" customWidth="true"/>
  </cols>
  <sheetData>
    <row r="1">
      <c r="A1" s="12" t="s">
        <v>138</v>
      </c>
      <c r="B1"/>
      <c r="C1"/>
      <c r="D1"/>
      <c r="E1"/>
    </row>
    <row r="2">
      <c r="A2" s="12" t="s">
        <v>139</v>
      </c>
      <c r="B2"/>
      <c r="C2"/>
      <c r="D2"/>
      <c r="E2"/>
    </row>
    <row r="3">
      <c r="A3" s="13" t="s">
        <v>140</v>
      </c>
      <c r="B3"/>
      <c r="C3"/>
      <c r="D3"/>
      <c r="E3"/>
    </row>
    <row r="5">
      <c r="A5" s="1"/>
      <c r="B5" t="s" s="2">
        <v>0</v>
      </c>
      <c r="C5" s="1"/>
      <c r="D5" s="1"/>
      <c r="E5" s="1"/>
    </row>
    <row r="6">
      <c r="A6" s="1"/>
      <c r="B6" t="s" s="2">
        <v>1</v>
      </c>
      <c r="C6" t="s" s="2">
        <v>2</v>
      </c>
      <c r="D6" t="s" s="2">
        <v>3</v>
      </c>
      <c r="E6" t="s" s="2">
        <v>4</v>
      </c>
    </row>
    <row r="7">
      <c r="A7" t="s" s="3">
        <v>5</v>
      </c>
      <c r="B7" s="4"/>
      <c r="C7" s="4"/>
      <c r="D7" s="4"/>
      <c r="E7" s="4"/>
    </row>
    <row r="8">
      <c r="A8" t="s" s="3">
        <v>6</v>
      </c>
      <c r="B8" t="n" s="5">
        <f>99715.47</f>
        <v>0.0</v>
      </c>
      <c r="C8" t="n" s="5">
        <f>122000.00</f>
        <v>0.0</v>
      </c>
      <c r="D8" t="n" s="5">
        <f>(B8)-(C8)</f>
        <v>0.0</v>
      </c>
      <c r="E8" t="n" s="6">
        <f>IF(C8=0,"",(B8)/(C8))</f>
        <v>0.0</v>
      </c>
    </row>
    <row r="9">
      <c r="A9" t="s" s="3">
        <v>7</v>
      </c>
      <c r="B9" t="n" s="5">
        <f>37744.41</f>
        <v>0.0</v>
      </c>
      <c r="C9" t="n" s="5">
        <f>45600.00</f>
        <v>0.0</v>
      </c>
      <c r="D9" t="n" s="5">
        <f>(B9)-(C9)</f>
        <v>0.0</v>
      </c>
      <c r="E9" t="n" s="6">
        <f>IF(C9=0,"",(B9)/(C9))</f>
        <v>0.0</v>
      </c>
    </row>
    <row r="10">
      <c r="A10" t="s" s="3">
        <v>8</v>
      </c>
      <c r="B10" s="4"/>
      <c r="C10" s="4"/>
      <c r="D10" t="n" s="5">
        <f>(B10)-(C10)</f>
        <v>0.0</v>
      </c>
      <c r="E10" t="n" s="6">
        <f>IF(C10=0,"",(B10)/(C10))</f>
        <v>0.0</v>
      </c>
    </row>
    <row r="11">
      <c r="A11" t="s" s="3">
        <v>9</v>
      </c>
      <c r="B11" t="n" s="5">
        <f>59969.69</f>
        <v>0.0</v>
      </c>
      <c r="C11" t="n" s="5">
        <f>58000.00</f>
        <v>0.0</v>
      </c>
      <c r="D11" t="n" s="5">
        <f>(B11)-(C11)</f>
        <v>0.0</v>
      </c>
      <c r="E11" t="n" s="6">
        <f>IF(C11=0,"",(B11)/(C11))</f>
        <v>0.0</v>
      </c>
    </row>
    <row r="12">
      <c r="A12" t="s" s="3">
        <v>10</v>
      </c>
      <c r="B12" s="4"/>
      <c r="C12" s="4"/>
      <c r="D12" t="n" s="5">
        <f>(B12)-(C12)</f>
        <v>0.0</v>
      </c>
      <c r="E12" t="n" s="6">
        <f>IF(C12=0,"",(B12)/(C12))</f>
        <v>0.0</v>
      </c>
    </row>
    <row r="13">
      <c r="A13" t="s" s="3">
        <v>11</v>
      </c>
      <c r="B13" t="n" s="5">
        <f>45729.39</f>
        <v>0.0</v>
      </c>
      <c r="C13" t="n" s="5">
        <f>41300.00</f>
        <v>0.0</v>
      </c>
      <c r="D13" t="n" s="5">
        <f>(B13)-(C13)</f>
        <v>0.0</v>
      </c>
      <c r="E13" t="n" s="6">
        <f>IF(C13=0,"",(B13)/(C13))</f>
        <v>0.0</v>
      </c>
    </row>
    <row r="14">
      <c r="A14" t="s" s="3">
        <v>12</v>
      </c>
      <c r="B14" t="n" s="5">
        <f>12153.00</f>
        <v>0.0</v>
      </c>
      <c r="C14" t="n" s="5">
        <f>11800.00</f>
        <v>0.0</v>
      </c>
      <c r="D14" t="n" s="5">
        <f>(B14)-(C14)</f>
        <v>0.0</v>
      </c>
      <c r="E14" t="n" s="6">
        <f>IF(C14=0,"",(B14)/(C14))</f>
        <v>0.0</v>
      </c>
    </row>
    <row r="15">
      <c r="A15" t="s" s="3">
        <v>13</v>
      </c>
      <c r="B15" t="n" s="5">
        <f>13580.00</f>
        <v>0.0</v>
      </c>
      <c r="C15" t="n" s="5">
        <f>16000.00</f>
        <v>0.0</v>
      </c>
      <c r="D15" t="n" s="5">
        <f>(B15)-(C15)</f>
        <v>0.0</v>
      </c>
      <c r="E15" t="n" s="6">
        <f>IF(C15=0,"",(B15)/(C15))</f>
        <v>0.0</v>
      </c>
    </row>
    <row r="16">
      <c r="A16" t="s" s="3">
        <v>14</v>
      </c>
      <c r="B16" t="n" s="7">
        <f>(((B12)+(B13))+(B14))+(B15)</f>
        <v>0.0</v>
      </c>
      <c r="C16" t="n" s="7">
        <f>(((C12)+(C13))+(C14))+(C15)</f>
        <v>0.0</v>
      </c>
      <c r="D16" t="n" s="7">
        <f>(B16)-(C16)</f>
        <v>0.0</v>
      </c>
      <c r="E16" t="n" s="8">
        <f>IF(C16=0,"",(B16)/(C16))</f>
        <v>0.0</v>
      </c>
    </row>
    <row r="17">
      <c r="A17" t="s" s="3">
        <v>15</v>
      </c>
      <c r="B17" t="n" s="5">
        <f>20649.24</f>
        <v>0.0</v>
      </c>
      <c r="C17" t="n" s="5">
        <f>20000.00</f>
        <v>0.0</v>
      </c>
      <c r="D17" t="n" s="5">
        <f>(B17)-(C17)</f>
        <v>0.0</v>
      </c>
      <c r="E17" t="n" s="6">
        <f>IF(C17=0,"",(B17)/(C17))</f>
        <v>0.0</v>
      </c>
    </row>
    <row r="18">
      <c r="A18" t="s" s="3">
        <v>16</v>
      </c>
      <c r="B18" t="n" s="5">
        <f>89660.00</f>
        <v>0.0</v>
      </c>
      <c r="C18" t="n" s="5">
        <f>79000.00</f>
        <v>0.0</v>
      </c>
      <c r="D18" t="n" s="5">
        <f>(B18)-(C18)</f>
        <v>0.0</v>
      </c>
      <c r="E18" t="n" s="6">
        <f>IF(C18=0,"",(B18)/(C18))</f>
        <v>0.0</v>
      </c>
    </row>
    <row r="19">
      <c r="A19" t="s" s="3">
        <v>17</v>
      </c>
      <c r="B19" t="n" s="7">
        <f>((((B10)+(B11))+(B16))+(B17))+(B18)</f>
        <v>0.0</v>
      </c>
      <c r="C19" t="n" s="7">
        <f>((((C10)+(C11))+(C16))+(C17))+(C18)</f>
        <v>0.0</v>
      </c>
      <c r="D19" t="n" s="7">
        <f>(B19)-(C19)</f>
        <v>0.0</v>
      </c>
      <c r="E19" t="n" s="8">
        <f>IF(C19=0,"",(B19)/(C19))</f>
        <v>0.0</v>
      </c>
    </row>
    <row r="20">
      <c r="A20" t="s" s="3">
        <v>18</v>
      </c>
      <c r="B20" s="4"/>
      <c r="C20" t="n" s="5">
        <f>0.00</f>
        <v>0.0</v>
      </c>
      <c r="D20" t="n" s="5">
        <f>(B20)-(C20)</f>
        <v>0.0</v>
      </c>
      <c r="E20" t="n" s="6">
        <f>IF(C20=0,"",(B20)/(C20))</f>
        <v>0.0</v>
      </c>
    </row>
    <row r="21">
      <c r="A21" t="s" s="3">
        <v>19</v>
      </c>
      <c r="B21" s="4"/>
      <c r="C21" s="4"/>
      <c r="D21" t="n" s="5">
        <f>(B21)-(C21)</f>
        <v>0.0</v>
      </c>
      <c r="E21" t="n" s="6">
        <f>IF(C21=0,"",(B21)/(C21))</f>
        <v>0.0</v>
      </c>
    </row>
    <row r="22">
      <c r="A22" t="s" s="3">
        <v>20</v>
      </c>
      <c r="B22" t="n" s="5">
        <f>593165.55</f>
        <v>0.0</v>
      </c>
      <c r="C22" t="n" s="5">
        <f>546000.00</f>
        <v>0.0</v>
      </c>
      <c r="D22" t="n" s="5">
        <f>(B22)-(C22)</f>
        <v>0.0</v>
      </c>
      <c r="E22" t="n" s="6">
        <f>IF(C22=0,"",(B22)/(C22))</f>
        <v>0.0</v>
      </c>
    </row>
    <row r="23">
      <c r="A23" t="s" s="3">
        <v>21</v>
      </c>
      <c r="B23" t="n" s="5">
        <f>362422.50</f>
        <v>0.0</v>
      </c>
      <c r="C23" t="n" s="5">
        <f>220000.00</f>
        <v>0.0</v>
      </c>
      <c r="D23" t="n" s="5">
        <f>(B23)-(C23)</f>
        <v>0.0</v>
      </c>
      <c r="E23" t="n" s="6">
        <f>IF(C23=0,"",(B23)/(C23))</f>
        <v>0.0</v>
      </c>
    </row>
    <row r="24">
      <c r="A24" t="s" s="3">
        <v>22</v>
      </c>
      <c r="B24" t="n" s="7">
        <f>((B21)+(B22))+(B23)</f>
        <v>0.0</v>
      </c>
      <c r="C24" t="n" s="7">
        <f>((C21)+(C22))+(C23)</f>
        <v>0.0</v>
      </c>
      <c r="D24" t="n" s="7">
        <f>(B24)-(C24)</f>
        <v>0.0</v>
      </c>
      <c r="E24" t="n" s="8">
        <f>IF(C24=0,"",(B24)/(C24))</f>
        <v>0.0</v>
      </c>
    </row>
    <row r="25">
      <c r="A25" t="s" s="3">
        <v>23</v>
      </c>
      <c r="B25" s="4"/>
      <c r="C25" s="4"/>
      <c r="D25" t="n" s="5">
        <f>(B25)-(C25)</f>
        <v>0.0</v>
      </c>
      <c r="E25" t="n" s="6">
        <f>IF(C25=0,"",(B25)/(C25))</f>
        <v>0.0</v>
      </c>
    </row>
    <row r="26">
      <c r="A26" t="s" s="3">
        <v>24</v>
      </c>
      <c r="B26" t="n" s="5">
        <f>7700.00</f>
        <v>0.0</v>
      </c>
      <c r="C26" t="n" s="5">
        <f>7200.00</f>
        <v>0.0</v>
      </c>
      <c r="D26" t="n" s="5">
        <f>(B26)-(C26)</f>
        <v>0.0</v>
      </c>
      <c r="E26" t="n" s="6">
        <f>IF(C26=0,"",(B26)/(C26))</f>
        <v>0.0</v>
      </c>
    </row>
    <row r="27">
      <c r="A27" t="s" s="3">
        <v>25</v>
      </c>
      <c r="B27" t="n" s="5">
        <f>26986.54</f>
        <v>0.0</v>
      </c>
      <c r="C27" t="n" s="5">
        <f>20500.00</f>
        <v>0.0</v>
      </c>
      <c r="D27" t="n" s="5">
        <f>(B27)-(C27)</f>
        <v>0.0</v>
      </c>
      <c r="E27" t="n" s="6">
        <f>IF(C27=0,"",(B27)/(C27))</f>
        <v>0.0</v>
      </c>
    </row>
    <row r="28">
      <c r="A28" t="s" s="3">
        <v>26</v>
      </c>
      <c r="B28" t="n" s="5">
        <f>685.00</f>
        <v>0.0</v>
      </c>
      <c r="C28" t="n" s="5">
        <f>1200.00</f>
        <v>0.0</v>
      </c>
      <c r="D28" t="n" s="5">
        <f>(B28)-(C28)</f>
        <v>0.0</v>
      </c>
      <c r="E28" t="n" s="6">
        <f>IF(C28=0,"",(B28)/(C28))</f>
        <v>0.0</v>
      </c>
    </row>
    <row r="29">
      <c r="A29" t="s" s="3">
        <v>27</v>
      </c>
      <c r="B29" t="n" s="5">
        <f>-4017.00</f>
        <v>0.0</v>
      </c>
      <c r="C29" t="n" s="5">
        <f>-5000.00</f>
        <v>0.0</v>
      </c>
      <c r="D29" t="n" s="5">
        <f>(B29)-(C29)</f>
        <v>0.0</v>
      </c>
      <c r="E29" t="n" s="6">
        <f>IF(C29=0,"",(B29)/(C29))</f>
        <v>0.0</v>
      </c>
    </row>
    <row r="30">
      <c r="A30" t="s" s="3">
        <v>28</v>
      </c>
      <c r="B30" t="n" s="7">
        <f>((((B25)+(B26))+(B27))+(B28))+(B29)</f>
        <v>0.0</v>
      </c>
      <c r="C30" t="n" s="7">
        <f>((((C25)+(C26))+(C27))+(C28))+(C29)</f>
        <v>0.0</v>
      </c>
      <c r="D30" t="n" s="7">
        <f>(B30)-(C30)</f>
        <v>0.0</v>
      </c>
      <c r="E30" t="n" s="8">
        <f>IF(C30=0,"",(B30)/(C30))</f>
        <v>0.0</v>
      </c>
    </row>
    <row r="31">
      <c r="A31" t="s" s="3">
        <v>29</v>
      </c>
      <c r="B31" s="4"/>
      <c r="C31" s="4"/>
      <c r="D31" t="n" s="5">
        <f>(B31)-(C31)</f>
        <v>0.0</v>
      </c>
      <c r="E31" t="n" s="6">
        <f>IF(C31=0,"",(B31)/(C31))</f>
        <v>0.0</v>
      </c>
    </row>
    <row r="32">
      <c r="A32" t="s" s="3">
        <v>30</v>
      </c>
      <c r="B32" t="n" s="5">
        <f>151074.34</f>
        <v>0.0</v>
      </c>
      <c r="C32" t="n" s="5">
        <f>290774.30</f>
        <v>0.0</v>
      </c>
      <c r="D32" t="n" s="5">
        <f>(B32)-(C32)</f>
        <v>0.0</v>
      </c>
      <c r="E32" t="n" s="6">
        <f>IF(C32=0,"",(B32)/(C32))</f>
        <v>0.0</v>
      </c>
    </row>
    <row r="33">
      <c r="A33" t="s" s="3">
        <v>31</v>
      </c>
      <c r="B33" t="n" s="5">
        <f>58901.52</f>
        <v>0.0</v>
      </c>
      <c r="C33" t="n" s="5">
        <f>63513.49</f>
        <v>0.0</v>
      </c>
      <c r="D33" t="n" s="5">
        <f>(B33)-(C33)</f>
        <v>0.0</v>
      </c>
      <c r="E33" t="n" s="6">
        <f>IF(C33=0,"",(B33)/(C33))</f>
        <v>0.0</v>
      </c>
    </row>
    <row r="34">
      <c r="A34" t="s" s="3">
        <v>32</v>
      </c>
      <c r="B34" t="n" s="5">
        <f>17599.00</f>
        <v>0.0</v>
      </c>
      <c r="C34" t="n" s="5">
        <f>15000.00</f>
        <v>0.0</v>
      </c>
      <c r="D34" t="n" s="5">
        <f>(B34)-(C34)</f>
        <v>0.0</v>
      </c>
      <c r="E34" t="n" s="6">
        <f>IF(C34=0,"",(B34)/(C34))</f>
        <v>0.0</v>
      </c>
    </row>
    <row r="35">
      <c r="A35" t="s" s="3">
        <v>33</v>
      </c>
      <c r="B35" t="n" s="5">
        <f>34088.28</f>
        <v>0.0</v>
      </c>
      <c r="C35" t="n" s="5">
        <f>34200.00</f>
        <v>0.0</v>
      </c>
      <c r="D35" t="n" s="5">
        <f>(B35)-(C35)</f>
        <v>0.0</v>
      </c>
      <c r="E35" t="n" s="6">
        <f>IF(C35=0,"",(B35)/(C35))</f>
        <v>0.0</v>
      </c>
    </row>
    <row r="36">
      <c r="A36" t="s" s="3">
        <v>34</v>
      </c>
      <c r="B36" t="n" s="5">
        <f>7880.00</f>
        <v>0.0</v>
      </c>
      <c r="C36" t="n" s="5">
        <f>900.00</f>
        <v>0.0</v>
      </c>
      <c r="D36" t="n" s="5">
        <f>(B36)-(C36)</f>
        <v>0.0</v>
      </c>
      <c r="E36" t="n" s="6">
        <f>IF(C36=0,"",(B36)/(C36))</f>
        <v>0.0</v>
      </c>
    </row>
    <row r="37">
      <c r="A37" t="s" s="3">
        <v>35</v>
      </c>
      <c r="B37" t="n" s="5">
        <f>17295.00</f>
        <v>0.0</v>
      </c>
      <c r="C37" t="n" s="5">
        <f>17364.00</f>
        <v>0.0</v>
      </c>
      <c r="D37" t="n" s="5">
        <f>(B37)-(C37)</f>
        <v>0.0</v>
      </c>
      <c r="E37" t="n" s="6">
        <f>IF(C37=0,"",(B37)/(C37))</f>
        <v>0.0</v>
      </c>
    </row>
    <row r="38">
      <c r="A38" t="s" s="3">
        <v>36</v>
      </c>
      <c r="B38" t="n" s="5">
        <f>163967.96</f>
        <v>0.0</v>
      </c>
      <c r="C38" s="4"/>
      <c r="D38" t="n" s="5">
        <f>(B38)-(C38)</f>
        <v>0.0</v>
      </c>
      <c r="E38" t="n" s="6">
        <f>IF(C38=0,"",(B38)/(C38))</f>
        <v>0.0</v>
      </c>
    </row>
    <row r="39">
      <c r="A39" t="s" s="3">
        <v>37</v>
      </c>
      <c r="B39" t="n" s="7">
        <f>(((((((B31)+(B32))+(B33))+(B34))+(B35))+(B36))+(B37))+(B38)</f>
        <v>0.0</v>
      </c>
      <c r="C39" t="n" s="7">
        <f>(((((((C31)+(C32))+(C33))+(C34))+(C35))+(C36))+(C37))+(C38)</f>
        <v>0.0</v>
      </c>
      <c r="D39" t="n" s="7">
        <f>(B39)-(C39)</f>
        <v>0.0</v>
      </c>
      <c r="E39" t="n" s="8">
        <f>IF(C39=0,"",(B39)/(C39))</f>
        <v>0.0</v>
      </c>
    </row>
    <row r="40">
      <c r="A40" t="s" s="3">
        <v>38</v>
      </c>
      <c r="B40" t="n" s="5">
        <f>58500.00</f>
        <v>0.0</v>
      </c>
      <c r="C40" s="4"/>
      <c r="D40" t="n" s="5">
        <f>(B40)-(C40)</f>
        <v>0.0</v>
      </c>
      <c r="E40" t="n" s="6">
        <f>IF(C40=0,"",(B40)/(C40))</f>
        <v>0.0</v>
      </c>
    </row>
    <row r="41">
      <c r="A41" t="s" s="3">
        <v>39</v>
      </c>
      <c r="B41" t="n" s="5">
        <f>179184.00</f>
        <v>0.0</v>
      </c>
      <c r="C41" s="4"/>
      <c r="D41" t="n" s="5">
        <f>(B41)-(C41)</f>
        <v>0.0</v>
      </c>
      <c r="E41" t="n" s="6">
        <f>IF(C41=0,"",(B41)/(C41))</f>
        <v>0.0</v>
      </c>
    </row>
    <row r="42">
      <c r="A42" t="s" s="3">
        <v>40</v>
      </c>
      <c r="B42" t="n" s="5">
        <f>500.00</f>
        <v>0.0</v>
      </c>
      <c r="C42" s="4"/>
      <c r="D42" t="n" s="5">
        <f>(B42)-(C42)</f>
        <v>0.0</v>
      </c>
      <c r="E42" t="n" s="6">
        <f>IF(C42=0,"",(B42)/(C42))</f>
        <v>0.0</v>
      </c>
    </row>
    <row r="43">
      <c r="A43" t="s" s="3">
        <v>41</v>
      </c>
      <c r="B43" t="n" s="7">
        <f>(((((((((B8)+(B9))+(B19))+(B20))+(B24))+(B30))+(B39))+(B40))+(B41))+(B42)</f>
        <v>0.0</v>
      </c>
      <c r="C43" t="n" s="7">
        <f>(((((((((C8)+(C9))+(C19))+(C20))+(C24))+(C30))+(C39))+(C40))+(C41))+(C42)</f>
        <v>0.0</v>
      </c>
      <c r="D43" t="n" s="7">
        <f>(B43)-(C43)</f>
        <v>0.0</v>
      </c>
      <c r="E43" t="n" s="8">
        <f>IF(C43=0,"",(B43)/(C43))</f>
        <v>0.0</v>
      </c>
    </row>
    <row r="44">
      <c r="A44" t="s" s="3">
        <v>42</v>
      </c>
      <c r="B44" s="4"/>
      <c r="C44" s="4"/>
      <c r="D44" s="4"/>
      <c r="E44" s="4"/>
    </row>
    <row r="45">
      <c r="A45" t="s" s="3">
        <v>43</v>
      </c>
      <c r="B45" s="4"/>
      <c r="C45" s="4"/>
      <c r="D45" t="n" s="5">
        <f>(B45)-(C45)</f>
        <v>0.0</v>
      </c>
      <c r="E45" t="n" s="6">
        <f>IF(C45=0,"",(B45)/(C45))</f>
        <v>0.0</v>
      </c>
    </row>
    <row r="46">
      <c r="A46" t="s" s="3">
        <v>44</v>
      </c>
      <c r="B46" t="n" s="5">
        <f>135716.07</f>
        <v>0.0</v>
      </c>
      <c r="C46" t="n" s="5">
        <f>80000.00</f>
        <v>0.0</v>
      </c>
      <c r="D46" t="n" s="5">
        <f>(B46)-(C46)</f>
        <v>0.0</v>
      </c>
      <c r="E46" t="n" s="6">
        <f>IF(C46=0,"",(B46)/(C46))</f>
        <v>0.0</v>
      </c>
    </row>
    <row r="47">
      <c r="A47" t="s" s="3">
        <v>45</v>
      </c>
      <c r="B47" t="n" s="5">
        <f>150215.37</f>
        <v>0.0</v>
      </c>
      <c r="C47" s="4"/>
      <c r="D47" t="n" s="5">
        <f>(B47)-(C47)</f>
        <v>0.0</v>
      </c>
      <c r="E47" t="n" s="6">
        <f>IF(C47=0,"",(B47)/(C47))</f>
        <v>0.0</v>
      </c>
    </row>
    <row r="48">
      <c r="A48" t="s" s="3">
        <v>46</v>
      </c>
      <c r="B48" t="n" s="7">
        <f>((B45)+(B46))+(B47)</f>
        <v>0.0</v>
      </c>
      <c r="C48" t="n" s="7">
        <f>((C45)+(C46))+(C47)</f>
        <v>0.0</v>
      </c>
      <c r="D48" t="n" s="7">
        <f>(B48)-(C48)</f>
        <v>0.0</v>
      </c>
      <c r="E48" t="n" s="8">
        <f>IF(C48=0,"",(B48)/(C48))</f>
        <v>0.0</v>
      </c>
    </row>
    <row r="49">
      <c r="A49" t="s" s="3">
        <v>47</v>
      </c>
      <c r="B49" t="n" s="5">
        <f>6137.36</f>
        <v>0.0</v>
      </c>
      <c r="C49" t="n" s="5">
        <f>3900.00</f>
        <v>0.0</v>
      </c>
      <c r="D49" t="n" s="5">
        <f>(B49)-(C49)</f>
        <v>0.0</v>
      </c>
      <c r="E49" t="n" s="6">
        <f>IF(C49=0,"",(B49)/(C49))</f>
        <v>0.0</v>
      </c>
    </row>
    <row r="50">
      <c r="A50" t="s" s="3">
        <v>48</v>
      </c>
      <c r="B50" t="n" s="5">
        <f>158000.00</f>
        <v>0.0</v>
      </c>
      <c r="C50" s="4"/>
      <c r="D50" t="n" s="5">
        <f>(B50)-(C50)</f>
        <v>0.0</v>
      </c>
      <c r="E50" t="n" s="6">
        <f>IF(C50=0,"",(B50)/(C50))</f>
        <v>0.0</v>
      </c>
    </row>
    <row r="51">
      <c r="A51" t="s" s="3">
        <v>49</v>
      </c>
      <c r="B51" t="n" s="7">
        <f>((B48)+(B49))+(B50)</f>
        <v>0.0</v>
      </c>
      <c r="C51" t="n" s="7">
        <f>((C48)+(C49))+(C50)</f>
        <v>0.0</v>
      </c>
      <c r="D51" t="n" s="7">
        <f>(B51)-(C51)</f>
        <v>0.0</v>
      </c>
      <c r="E51" t="n" s="8">
        <f>IF(C51=0,"",(B51)/(C51))</f>
        <v>0.0</v>
      </c>
    </row>
    <row r="52">
      <c r="A52" t="s" s="3">
        <v>50</v>
      </c>
      <c r="B52" t="n" s="7">
        <f>(B43)-(B51)</f>
        <v>0.0</v>
      </c>
      <c r="C52" t="n" s="7">
        <f>(C43)-(C51)</f>
        <v>0.0</v>
      </c>
      <c r="D52" t="n" s="7">
        <f>(B52)-(C52)</f>
        <v>0.0</v>
      </c>
      <c r="E52" t="n" s="8">
        <f>IF(C52=0,"",(B52)/(C52))</f>
        <v>0.0</v>
      </c>
    </row>
    <row r="53">
      <c r="A53" t="s" s="3">
        <v>51</v>
      </c>
      <c r="B53" s="4"/>
      <c r="C53" s="4"/>
      <c r="D53" s="4"/>
      <c r="E53" s="4"/>
    </row>
    <row r="54">
      <c r="A54" t="s" s="3">
        <v>52</v>
      </c>
      <c r="B54" s="4"/>
      <c r="C54" s="4"/>
      <c r="D54" t="n" s="5">
        <f>(B54)-(C54)</f>
        <v>0.0</v>
      </c>
      <c r="E54" t="n" s="6">
        <f>IF(C54=0,"",(B54)/(C54))</f>
        <v>0.0</v>
      </c>
    </row>
    <row r="55">
      <c r="A55" t="s" s="3">
        <v>53</v>
      </c>
      <c r="B55" t="n" s="5">
        <f>3505.33</f>
        <v>0.0</v>
      </c>
      <c r="C55" t="n" s="5">
        <f>4500.00</f>
        <v>0.0</v>
      </c>
      <c r="D55" t="n" s="5">
        <f>(B55)-(C55)</f>
        <v>0.0</v>
      </c>
      <c r="E55" t="n" s="6">
        <f>IF(C55=0,"",(B55)/(C55))</f>
        <v>0.0</v>
      </c>
    </row>
    <row r="56">
      <c r="A56" t="s" s="3">
        <v>54</v>
      </c>
      <c r="B56" t="n" s="5">
        <f>4262.35</f>
        <v>0.0</v>
      </c>
      <c r="C56" t="n" s="5">
        <f>3200.00</f>
        <v>0.0</v>
      </c>
      <c r="D56" t="n" s="5">
        <f>(B56)-(C56)</f>
        <v>0.0</v>
      </c>
      <c r="E56" t="n" s="6">
        <f>IF(C56=0,"",(B56)/(C56))</f>
        <v>0.0</v>
      </c>
    </row>
    <row r="57">
      <c r="A57" t="s" s="3">
        <v>55</v>
      </c>
      <c r="B57" t="n" s="5">
        <f>9115.61</f>
        <v>0.0</v>
      </c>
      <c r="C57" t="n" s="5">
        <f>60000.00</f>
        <v>0.0</v>
      </c>
      <c r="D57" t="n" s="5">
        <f>(B57)-(C57)</f>
        <v>0.0</v>
      </c>
      <c r="E57" t="n" s="6">
        <f>IF(C57=0,"",(B57)/(C57))</f>
        <v>0.0</v>
      </c>
    </row>
    <row r="58">
      <c r="A58" t="s" s="3">
        <v>56</v>
      </c>
      <c r="B58" t="n" s="5">
        <f>4486.35</f>
        <v>0.0</v>
      </c>
      <c r="C58" t="n" s="5">
        <f>2000.00</f>
        <v>0.0</v>
      </c>
      <c r="D58" t="n" s="5">
        <f>(B58)-(C58)</f>
        <v>0.0</v>
      </c>
      <c r="E58" t="n" s="6">
        <f>IF(C58=0,"",(B58)/(C58))</f>
        <v>0.0</v>
      </c>
    </row>
    <row r="59">
      <c r="A59" t="s" s="3">
        <v>57</v>
      </c>
      <c r="B59" t="n" s="7">
        <f>((((B54)+(B55))+(B56))+(B57))+(B58)</f>
        <v>0.0</v>
      </c>
      <c r="C59" t="n" s="7">
        <f>((((C54)+(C55))+(C56))+(C57))+(C58)</f>
        <v>0.0</v>
      </c>
      <c r="D59" t="n" s="7">
        <f>(B59)-(C59)</f>
        <v>0.0</v>
      </c>
      <c r="E59" t="n" s="8">
        <f>IF(C59=0,"",(B59)/(C59))</f>
        <v>0.0</v>
      </c>
    </row>
    <row r="60">
      <c r="A60" t="s" s="3">
        <v>58</v>
      </c>
      <c r="B60" s="4"/>
      <c r="C60" s="4"/>
      <c r="D60" t="n" s="5">
        <f>(B60)-(C60)</f>
        <v>0.0</v>
      </c>
      <c r="E60" t="n" s="6">
        <f>IF(C60=0,"",(B60)/(C60))</f>
        <v>0.0</v>
      </c>
    </row>
    <row r="61">
      <c r="A61" t="s" s="3">
        <v>59</v>
      </c>
      <c r="B61" t="n" s="5">
        <f>15499.84</f>
        <v>0.0</v>
      </c>
      <c r="C61" t="n" s="5">
        <f>13000.00</f>
        <v>0.0</v>
      </c>
      <c r="D61" t="n" s="5">
        <f>(B61)-(C61)</f>
        <v>0.0</v>
      </c>
      <c r="E61" t="n" s="6">
        <f>IF(C61=0,"",(B61)/(C61))</f>
        <v>0.0</v>
      </c>
    </row>
    <row r="62">
      <c r="A62" t="s" s="3">
        <v>60</v>
      </c>
      <c r="B62" t="n" s="5">
        <f>4368.20</f>
        <v>0.0</v>
      </c>
      <c r="C62" t="n" s="5">
        <f>9000.00</f>
        <v>0.0</v>
      </c>
      <c r="D62" t="n" s="5">
        <f>(B62)-(C62)</f>
        <v>0.0</v>
      </c>
      <c r="E62" t="n" s="6">
        <f>IF(C62=0,"",(B62)/(C62))</f>
        <v>0.0</v>
      </c>
    </row>
    <row r="63">
      <c r="A63" t="s" s="3">
        <v>61</v>
      </c>
      <c r="B63" s="4"/>
      <c r="C63" t="n" s="5">
        <f>6000.00</f>
        <v>0.0</v>
      </c>
      <c r="D63" t="n" s="5">
        <f>(B63)-(C63)</f>
        <v>0.0</v>
      </c>
      <c r="E63" t="n" s="6">
        <f>IF(C63=0,"",(B63)/(C63))</f>
        <v>0.0</v>
      </c>
    </row>
    <row r="64">
      <c r="A64" t="s" s="3">
        <v>62</v>
      </c>
      <c r="B64" t="n" s="7">
        <f>(((B60)+(B61))+(B62))+(B63)</f>
        <v>0.0</v>
      </c>
      <c r="C64" t="n" s="7">
        <f>(((C60)+(C61))+(C62))+(C63)</f>
        <v>0.0</v>
      </c>
      <c r="D64" t="n" s="7">
        <f>(B64)-(C64)</f>
        <v>0.0</v>
      </c>
      <c r="E64" t="n" s="8">
        <f>IF(C64=0,"",(B64)/(C64))</f>
        <v>0.0</v>
      </c>
    </row>
    <row r="65">
      <c r="A65" t="s" s="3">
        <v>63</v>
      </c>
      <c r="B65" s="4"/>
      <c r="C65" s="4"/>
      <c r="D65" t="n" s="5">
        <f>(B65)-(C65)</f>
        <v>0.0</v>
      </c>
      <c r="E65" t="n" s="6">
        <f>IF(C65=0,"",(B65)/(C65))</f>
        <v>0.0</v>
      </c>
    </row>
    <row r="66">
      <c r="A66" t="s" s="3">
        <v>64</v>
      </c>
      <c r="B66" t="n" s="5">
        <f>348.38</f>
        <v>0.0</v>
      </c>
      <c r="C66" t="n" s="5">
        <f>14900.00</f>
        <v>0.0</v>
      </c>
      <c r="D66" t="n" s="5">
        <f>(B66)-(C66)</f>
        <v>0.0</v>
      </c>
      <c r="E66" t="n" s="6">
        <f>IF(C66=0,"",(B66)/(C66))</f>
        <v>0.0</v>
      </c>
    </row>
    <row r="67">
      <c r="A67" t="s" s="3">
        <v>65</v>
      </c>
      <c r="B67" t="n" s="5">
        <f>24588.52</f>
        <v>0.0</v>
      </c>
      <c r="C67" t="n" s="5">
        <f>22000.00</f>
        <v>0.0</v>
      </c>
      <c r="D67" t="n" s="5">
        <f>(B67)-(C67)</f>
        <v>0.0</v>
      </c>
      <c r="E67" t="n" s="6">
        <f>IF(C67=0,"",(B67)/(C67))</f>
        <v>0.0</v>
      </c>
    </row>
    <row r="68">
      <c r="A68" t="s" s="3">
        <v>66</v>
      </c>
      <c r="B68" t="n" s="7">
        <f>((B65)+(B66))+(B67)</f>
        <v>0.0</v>
      </c>
      <c r="C68" t="n" s="7">
        <f>((C65)+(C66))+(C67)</f>
        <v>0.0</v>
      </c>
      <c r="D68" t="n" s="7">
        <f>(B68)-(C68)</f>
        <v>0.0</v>
      </c>
      <c r="E68" t="n" s="8">
        <f>IF(C68=0,"",(B68)/(C68))</f>
        <v>0.0</v>
      </c>
    </row>
    <row r="69">
      <c r="A69" t="s" s="3">
        <v>67</v>
      </c>
      <c r="B69" s="4"/>
      <c r="C69" s="4"/>
      <c r="D69" t="n" s="5">
        <f>(B69)-(C69)</f>
        <v>0.0</v>
      </c>
      <c r="E69" t="n" s="6">
        <f>IF(C69=0,"",(B69)/(C69))</f>
        <v>0.0</v>
      </c>
    </row>
    <row r="70">
      <c r="A70" t="s" s="3">
        <v>68</v>
      </c>
      <c r="B70" t="n" s="5">
        <f>5710.22</f>
        <v>0.0</v>
      </c>
      <c r="C70" t="n" s="5">
        <f>3500.00</f>
        <v>0.0</v>
      </c>
      <c r="D70" t="n" s="5">
        <f>(B70)-(C70)</f>
        <v>0.0</v>
      </c>
      <c r="E70" t="n" s="6">
        <f>IF(C70=0,"",(B70)/(C70))</f>
        <v>0.0</v>
      </c>
    </row>
    <row r="71">
      <c r="A71" t="s" s="3">
        <v>69</v>
      </c>
      <c r="B71" t="n" s="5">
        <f>51207.26</f>
        <v>0.0</v>
      </c>
      <c r="C71" t="n" s="5">
        <f>41000.00</f>
        <v>0.0</v>
      </c>
      <c r="D71" t="n" s="5">
        <f>(B71)-(C71)</f>
        <v>0.0</v>
      </c>
      <c r="E71" t="n" s="6">
        <f>IF(C71=0,"",(B71)/(C71))</f>
        <v>0.0</v>
      </c>
    </row>
    <row r="72">
      <c r="A72" t="s" s="3">
        <v>70</v>
      </c>
      <c r="B72" t="n" s="7">
        <f>((B69)+(B70))+(B71)</f>
        <v>0.0</v>
      </c>
      <c r="C72" t="n" s="7">
        <f>((C69)+(C70))+(C71)</f>
        <v>0.0</v>
      </c>
      <c r="D72" t="n" s="7">
        <f>(B72)-(C72)</f>
        <v>0.0</v>
      </c>
      <c r="E72" t="n" s="8">
        <f>IF(C72=0,"",(B72)/(C72))</f>
        <v>0.0</v>
      </c>
    </row>
    <row r="73">
      <c r="A73" t="s" s="3">
        <v>71</v>
      </c>
      <c r="B73" s="4"/>
      <c r="C73" s="4"/>
      <c r="D73" t="n" s="5">
        <f>(B73)-(C73)</f>
        <v>0.0</v>
      </c>
      <c r="E73" t="n" s="6">
        <f>IF(C73=0,"",(B73)/(C73))</f>
        <v>0.0</v>
      </c>
    </row>
    <row r="74">
      <c r="A74" t="s" s="3">
        <v>72</v>
      </c>
      <c r="B74" s="4"/>
      <c r="C74" t="n" s="5">
        <f>2000.00</f>
        <v>0.0</v>
      </c>
      <c r="D74" t="n" s="5">
        <f>(B74)-(C74)</f>
        <v>0.0</v>
      </c>
      <c r="E74" t="n" s="6">
        <f>IF(C74=0,"",(B74)/(C74))</f>
        <v>0.0</v>
      </c>
    </row>
    <row r="75">
      <c r="A75" t="s" s="3">
        <v>73</v>
      </c>
      <c r="B75" s="4"/>
      <c r="C75" t="n" s="5">
        <f>500.00</f>
        <v>0.0</v>
      </c>
      <c r="D75" t="n" s="5">
        <f>(B75)-(C75)</f>
        <v>0.0</v>
      </c>
      <c r="E75" t="n" s="6">
        <f>IF(C75=0,"",(B75)/(C75))</f>
        <v>0.0</v>
      </c>
    </row>
    <row r="76">
      <c r="A76" t="s" s="3">
        <v>74</v>
      </c>
      <c r="B76" t="n" s="7">
        <f>((B73)+(B74))+(B75)</f>
        <v>0.0</v>
      </c>
      <c r="C76" t="n" s="7">
        <f>((C73)+(C74))+(C75)</f>
        <v>0.0</v>
      </c>
      <c r="D76" t="n" s="7">
        <f>(B76)-(C76)</f>
        <v>0.0</v>
      </c>
      <c r="E76" t="n" s="8">
        <f>IF(C76=0,"",(B76)/(C76))</f>
        <v>0.0</v>
      </c>
    </row>
    <row r="77">
      <c r="A77" t="s" s="3">
        <v>75</v>
      </c>
      <c r="B77" s="4"/>
      <c r="C77" s="4"/>
      <c r="D77" t="n" s="5">
        <f>(B77)-(C77)</f>
        <v>0.0</v>
      </c>
      <c r="E77" t="n" s="6">
        <f>IF(C77=0,"",(B77)/(C77))</f>
        <v>0.0</v>
      </c>
    </row>
    <row r="78">
      <c r="A78" t="s" s="3">
        <v>76</v>
      </c>
      <c r="B78" t="n" s="5">
        <f>27297.27</f>
        <v>0.0</v>
      </c>
      <c r="C78" s="4"/>
      <c r="D78" t="n" s="5">
        <f>(B78)-(C78)</f>
        <v>0.0</v>
      </c>
      <c r="E78" t="n" s="6">
        <f>IF(C78=0,"",(B78)/(C78))</f>
        <v>0.0</v>
      </c>
    </row>
    <row r="79">
      <c r="A79" t="s" s="3">
        <v>77</v>
      </c>
      <c r="B79" t="n" s="5">
        <f>839374.34</f>
        <v>0.0</v>
      </c>
      <c r="C79" t="n" s="5">
        <f>900500.00</f>
        <v>0.0</v>
      </c>
      <c r="D79" t="n" s="5">
        <f>(B79)-(C79)</f>
        <v>0.0</v>
      </c>
      <c r="E79" t="n" s="6">
        <f>IF(C79=0,"",(B79)/(C79))</f>
        <v>0.0</v>
      </c>
    </row>
    <row r="80">
      <c r="A80" t="s" s="3">
        <v>78</v>
      </c>
      <c r="B80" t="n" s="5">
        <f>70583.05</f>
        <v>0.0</v>
      </c>
      <c r="C80" t="n" s="5">
        <f>81045.00</f>
        <v>0.0</v>
      </c>
      <c r="D80" t="n" s="5">
        <f>(B80)-(C80)</f>
        <v>0.0</v>
      </c>
      <c r="E80" t="n" s="6">
        <f>IF(C80=0,"",(B80)/(C80))</f>
        <v>0.0</v>
      </c>
    </row>
    <row r="81">
      <c r="A81" t="s" s="3">
        <v>79</v>
      </c>
      <c r="B81" t="n" s="5">
        <f>65008.13</f>
        <v>0.0</v>
      </c>
      <c r="C81" t="n" s="5">
        <f>66000.00</f>
        <v>0.0</v>
      </c>
      <c r="D81" t="n" s="5">
        <f>(B81)-(C81)</f>
        <v>0.0</v>
      </c>
      <c r="E81" t="n" s="6">
        <f>IF(C81=0,"",(B81)/(C81))</f>
        <v>0.0</v>
      </c>
    </row>
    <row r="82">
      <c r="A82" t="s" s="3">
        <v>80</v>
      </c>
      <c r="B82" t="n" s="5">
        <f>9497.23</f>
        <v>0.0</v>
      </c>
      <c r="C82" t="n" s="5">
        <f>10000.00</f>
        <v>0.0</v>
      </c>
      <c r="D82" t="n" s="5">
        <f>(B82)-(C82)</f>
        <v>0.0</v>
      </c>
      <c r="E82" t="n" s="6">
        <f>IF(C82=0,"",(B82)/(C82))</f>
        <v>0.0</v>
      </c>
    </row>
    <row r="83">
      <c r="A83" t="s" s="3">
        <v>81</v>
      </c>
      <c r="B83" t="n" s="5">
        <f>10353.00</f>
        <v>0.0</v>
      </c>
      <c r="C83" t="n" s="5">
        <f>11000.00</f>
        <v>0.0</v>
      </c>
      <c r="D83" t="n" s="5">
        <f>(B83)-(C83)</f>
        <v>0.0</v>
      </c>
      <c r="E83" t="n" s="6">
        <f>IF(C83=0,"",(B83)/(C83))</f>
        <v>0.0</v>
      </c>
    </row>
    <row r="84">
      <c r="A84" t="s" s="3">
        <v>82</v>
      </c>
      <c r="B84" t="n" s="5">
        <f>19922.91</f>
        <v>0.0</v>
      </c>
      <c r="C84" t="n" s="5">
        <f>27000.00</f>
        <v>0.0</v>
      </c>
      <c r="D84" t="n" s="5">
        <f>(B84)-(C84)</f>
        <v>0.0</v>
      </c>
      <c r="E84" t="n" s="6">
        <f>IF(C84=0,"",(B84)/(C84))</f>
        <v>0.0</v>
      </c>
    </row>
    <row r="85">
      <c r="A85" t="s" s="3">
        <v>83</v>
      </c>
      <c r="B85" s="4"/>
      <c r="C85" t="n" s="5">
        <f>1000.00</f>
        <v>0.0</v>
      </c>
      <c r="D85" t="n" s="5">
        <f>(B85)-(C85)</f>
        <v>0.0</v>
      </c>
      <c r="E85" t="n" s="6">
        <f>IF(C85=0,"",(B85)/(C85))</f>
        <v>0.0</v>
      </c>
    </row>
    <row r="86">
      <c r="A86" t="s" s="3">
        <v>84</v>
      </c>
      <c r="B86" s="4"/>
      <c r="C86" t="n" s="5">
        <f>500.00</f>
        <v>0.0</v>
      </c>
      <c r="D86" t="n" s="5">
        <f>(B86)-(C86)</f>
        <v>0.0</v>
      </c>
      <c r="E86" t="n" s="6">
        <f>IF(C86=0,"",(B86)/(C86))</f>
        <v>0.0</v>
      </c>
    </row>
    <row r="87">
      <c r="A87" t="s" s="3">
        <v>85</v>
      </c>
      <c r="B87" t="n" s="7">
        <f>(((((((((B77)+(B78))+(B79))+(B80))+(B81))+(B82))+(B83))+(B84))+(B85))+(B86)</f>
        <v>0.0</v>
      </c>
      <c r="C87" t="n" s="7">
        <f>(((((((((C77)+(C78))+(C79))+(C80))+(C81))+(C82))+(C83))+(C84))+(C85))+(C86)</f>
        <v>0.0</v>
      </c>
      <c r="D87" t="n" s="7">
        <f>(B87)-(C87)</f>
        <v>0.0</v>
      </c>
      <c r="E87" t="n" s="8">
        <f>IF(C87=0,"",(B87)/(C87))</f>
        <v>0.0</v>
      </c>
    </row>
    <row r="88">
      <c r="A88" t="s" s="3">
        <v>86</v>
      </c>
      <c r="B88" s="4"/>
      <c r="C88" s="4"/>
      <c r="D88" t="n" s="5">
        <f>(B88)-(C88)</f>
        <v>0.0</v>
      </c>
      <c r="E88" t="n" s="6">
        <f>IF(C88=0,"",(B88)/(C88))</f>
        <v>0.0</v>
      </c>
    </row>
    <row r="89">
      <c r="A89" t="s" s="3">
        <v>87</v>
      </c>
      <c r="B89" t="n" s="5">
        <f>407.93</f>
        <v>0.0</v>
      </c>
      <c r="C89" t="n" s="5">
        <f>2300.00</f>
        <v>0.0</v>
      </c>
      <c r="D89" t="n" s="5">
        <f>(B89)-(C89)</f>
        <v>0.0</v>
      </c>
      <c r="E89" t="n" s="6">
        <f>IF(C89=0,"",(B89)/(C89))</f>
        <v>0.0</v>
      </c>
    </row>
    <row r="90">
      <c r="A90" t="s" s="3">
        <v>88</v>
      </c>
      <c r="B90" t="n" s="5">
        <f>4292.62</f>
        <v>0.0</v>
      </c>
      <c r="C90" t="n" s="5">
        <f>4800.00</f>
        <v>0.0</v>
      </c>
      <c r="D90" t="n" s="5">
        <f>(B90)-(C90)</f>
        <v>0.0</v>
      </c>
      <c r="E90" t="n" s="6">
        <f>IF(C90=0,"",(B90)/(C90))</f>
        <v>0.0</v>
      </c>
    </row>
    <row r="91">
      <c r="A91" t="s" s="3">
        <v>89</v>
      </c>
      <c r="B91" t="n" s="5">
        <f>704.01</f>
        <v>0.0</v>
      </c>
      <c r="C91" t="n" s="5">
        <f>3400.00</f>
        <v>0.0</v>
      </c>
      <c r="D91" t="n" s="5">
        <f>(B91)-(C91)</f>
        <v>0.0</v>
      </c>
      <c r="E91" t="n" s="6">
        <f>IF(C91=0,"",(B91)/(C91))</f>
        <v>0.0</v>
      </c>
    </row>
    <row r="92">
      <c r="A92" t="s" s="3">
        <v>90</v>
      </c>
      <c r="B92" t="n" s="5">
        <f>99.99</f>
        <v>0.0</v>
      </c>
      <c r="C92" t="n" s="5">
        <f>200.00</f>
        <v>0.0</v>
      </c>
      <c r="D92" t="n" s="5">
        <f>(B92)-(C92)</f>
        <v>0.0</v>
      </c>
      <c r="E92" t="n" s="6">
        <f>IF(C92=0,"",(B92)/(C92))</f>
        <v>0.0</v>
      </c>
    </row>
    <row r="93">
      <c r="A93" t="s" s="3">
        <v>91</v>
      </c>
      <c r="B93" t="n" s="7">
        <f>((((B88)+(B89))+(B90))+(B91))+(B92)</f>
        <v>0.0</v>
      </c>
      <c r="C93" t="n" s="7">
        <f>((((C88)+(C89))+(C90))+(C91))+(C92)</f>
        <v>0.0</v>
      </c>
      <c r="D93" t="n" s="7">
        <f>(B93)-(C93)</f>
        <v>0.0</v>
      </c>
      <c r="E93" t="n" s="8">
        <f>IF(C93=0,"",(B93)/(C93))</f>
        <v>0.0</v>
      </c>
    </row>
    <row r="94">
      <c r="A94" t="s" s="3">
        <v>92</v>
      </c>
      <c r="B94" s="4"/>
      <c r="C94" s="4"/>
      <c r="D94" t="n" s="5">
        <f>(B94)-(C94)</f>
        <v>0.0</v>
      </c>
      <c r="E94" t="n" s="6">
        <f>IF(C94=0,"",(B94)/(C94))</f>
        <v>0.0</v>
      </c>
    </row>
    <row r="95">
      <c r="A95" t="s" s="3">
        <v>93</v>
      </c>
      <c r="B95" t="n" s="5">
        <f>21742.24</f>
        <v>0.0</v>
      </c>
      <c r="C95" t="n" s="5">
        <f>19000.00</f>
        <v>0.0</v>
      </c>
      <c r="D95" t="n" s="5">
        <f>(B95)-(C95)</f>
        <v>0.0</v>
      </c>
      <c r="E95" t="n" s="6">
        <f>IF(C95=0,"",(B95)/(C95))</f>
        <v>0.0</v>
      </c>
    </row>
    <row r="96">
      <c r="A96" t="s" s="3">
        <v>94</v>
      </c>
      <c r="B96" t="n" s="5">
        <f>44331.54</f>
        <v>0.0</v>
      </c>
      <c r="C96" t="n" s="5">
        <f>46600.00</f>
        <v>0.0</v>
      </c>
      <c r="D96" t="n" s="5">
        <f>(B96)-(C96)</f>
        <v>0.0</v>
      </c>
      <c r="E96" t="n" s="6">
        <f>IF(C96=0,"",(B96)/(C96))</f>
        <v>0.0</v>
      </c>
    </row>
    <row r="97">
      <c r="A97" t="s" s="3">
        <v>95</v>
      </c>
      <c r="B97" t="n" s="5">
        <f>22052.30</f>
        <v>0.0</v>
      </c>
      <c r="C97" t="n" s="5">
        <f>25400.00</f>
        <v>0.0</v>
      </c>
      <c r="D97" t="n" s="5">
        <f>(B97)-(C97)</f>
        <v>0.0</v>
      </c>
      <c r="E97" t="n" s="6">
        <f>IF(C97=0,"",(B97)/(C97))</f>
        <v>0.0</v>
      </c>
    </row>
    <row r="98">
      <c r="A98" t="s" s="3">
        <v>96</v>
      </c>
      <c r="B98" t="n" s="5">
        <f>2880.96</f>
        <v>0.0</v>
      </c>
      <c r="C98" t="n" s="5">
        <f>2900.00</f>
        <v>0.0</v>
      </c>
      <c r="D98" t="n" s="5">
        <f>(B98)-(C98)</f>
        <v>0.0</v>
      </c>
      <c r="E98" t="n" s="6">
        <f>IF(C98=0,"",(B98)/(C98))</f>
        <v>0.0</v>
      </c>
    </row>
    <row r="99">
      <c r="A99" t="s" s="3">
        <v>97</v>
      </c>
      <c r="B99" t="n" s="7">
        <f>((((B94)+(B95))+(B96))+(B97))+(B98)</f>
        <v>0.0</v>
      </c>
      <c r="C99" t="n" s="7">
        <f>((((C94)+(C95))+(C96))+(C97))+(C98)</f>
        <v>0.0</v>
      </c>
      <c r="D99" t="n" s="7">
        <f>(B99)-(C99)</f>
        <v>0.0</v>
      </c>
      <c r="E99" t="n" s="8">
        <f>IF(C99=0,"",(B99)/(C99))</f>
        <v>0.0</v>
      </c>
    </row>
    <row r="100">
      <c r="A100" t="s" s="3">
        <v>98</v>
      </c>
      <c r="B100" s="4"/>
      <c r="C100" s="4"/>
      <c r="D100" t="n" s="5">
        <f>(B100)-(C100)</f>
        <v>0.0</v>
      </c>
      <c r="E100" t="n" s="6">
        <f>IF(C100=0,"",(B100)/(C100))</f>
        <v>0.0</v>
      </c>
    </row>
    <row r="101">
      <c r="A101" t="s" s="3">
        <v>99</v>
      </c>
      <c r="B101" t="n" s="5">
        <f>18905.90</f>
        <v>0.0</v>
      </c>
      <c r="C101" t="n" s="5">
        <f>8922.50</f>
        <v>0.0</v>
      </c>
      <c r="D101" t="n" s="5">
        <f>(B101)-(C101)</f>
        <v>0.0</v>
      </c>
      <c r="E101" t="n" s="6">
        <f>IF(C101=0,"",(B101)/(C101))</f>
        <v>0.0</v>
      </c>
    </row>
    <row r="102">
      <c r="A102" t="s" s="3">
        <v>100</v>
      </c>
      <c r="B102" t="n" s="5">
        <f>32.00</f>
        <v>0.0</v>
      </c>
      <c r="C102" t="n" s="5">
        <f>100.00</f>
        <v>0.0</v>
      </c>
      <c r="D102" t="n" s="5">
        <f>(B102)-(C102)</f>
        <v>0.0</v>
      </c>
      <c r="E102" t="n" s="6">
        <f>IF(C102=0,"",(B102)/(C102))</f>
        <v>0.0</v>
      </c>
    </row>
    <row r="103">
      <c r="A103" t="s" s="3">
        <v>101</v>
      </c>
      <c r="B103" t="n" s="5">
        <f>35700.00</f>
        <v>0.0</v>
      </c>
      <c r="C103" t="n" s="5">
        <f>36100.00</f>
        <v>0.0</v>
      </c>
      <c r="D103" t="n" s="5">
        <f>(B103)-(C103)</f>
        <v>0.0</v>
      </c>
      <c r="E103" t="n" s="6">
        <f>IF(C103=0,"",(B103)/(C103))</f>
        <v>0.0</v>
      </c>
    </row>
    <row r="104">
      <c r="A104" t="s" s="3">
        <v>102</v>
      </c>
      <c r="B104" t="n" s="5">
        <f>31786.00</f>
        <v>0.0</v>
      </c>
      <c r="C104" t="n" s="5">
        <f>6600.00</f>
        <v>0.0</v>
      </c>
      <c r="D104" t="n" s="5">
        <f>(B104)-(C104)</f>
        <v>0.0</v>
      </c>
      <c r="E104" t="n" s="6">
        <f>IF(C104=0,"",(B104)/(C104))</f>
        <v>0.0</v>
      </c>
    </row>
    <row r="105">
      <c r="A105" t="s" s="3">
        <v>103</v>
      </c>
      <c r="B105" t="n" s="5">
        <f>56999.20</f>
        <v>0.0</v>
      </c>
      <c r="C105" t="n" s="5">
        <f>25000.00</f>
        <v>0.0</v>
      </c>
      <c r="D105" t="n" s="5">
        <f>(B105)-(C105)</f>
        <v>0.0</v>
      </c>
      <c r="E105" t="n" s="6">
        <f>IF(C105=0,"",(B105)/(C105))</f>
        <v>0.0</v>
      </c>
    </row>
    <row r="106">
      <c r="A106" t="s" s="3">
        <v>104</v>
      </c>
      <c r="B106" t="n" s="5">
        <f>15242.00</f>
        <v>0.0</v>
      </c>
      <c r="C106" t="n" s="5">
        <f>4000.00</f>
        <v>0.0</v>
      </c>
      <c r="D106" t="n" s="5">
        <f>(B106)-(C106)</f>
        <v>0.0</v>
      </c>
      <c r="E106" t="n" s="6">
        <f>IF(C106=0,"",(B106)/(C106))</f>
        <v>0.0</v>
      </c>
    </row>
    <row r="107">
      <c r="A107" t="s" s="3">
        <v>105</v>
      </c>
      <c r="B107" t="n" s="5">
        <f>329.00</f>
        <v>0.0</v>
      </c>
      <c r="C107" t="n" s="5">
        <f>700.00</f>
        <v>0.0</v>
      </c>
      <c r="D107" t="n" s="5">
        <f>(B107)-(C107)</f>
        <v>0.0</v>
      </c>
      <c r="E107" t="n" s="6">
        <f>IF(C107=0,"",(B107)/(C107))</f>
        <v>0.0</v>
      </c>
    </row>
    <row r="108">
      <c r="A108" t="s" s="3">
        <v>106</v>
      </c>
      <c r="B108" t="n" s="5">
        <f>5542.22</f>
        <v>0.0</v>
      </c>
      <c r="C108" t="n" s="5">
        <f>3500.00</f>
        <v>0.0</v>
      </c>
      <c r="D108" t="n" s="5">
        <f>(B108)-(C108)</f>
        <v>0.0</v>
      </c>
      <c r="E108" t="n" s="6">
        <f>IF(C108=0,"",(B108)/(C108))</f>
        <v>0.0</v>
      </c>
    </row>
    <row r="109">
      <c r="A109" t="s" s="3">
        <v>107</v>
      </c>
      <c r="B109" s="4"/>
      <c r="C109" t="n" s="5">
        <f>8000.00</f>
        <v>0.0</v>
      </c>
      <c r="D109" t="n" s="5">
        <f>(B109)-(C109)</f>
        <v>0.0</v>
      </c>
      <c r="E109" t="n" s="6">
        <f>IF(C109=0,"",(B109)/(C109))</f>
        <v>0.0</v>
      </c>
    </row>
    <row r="110">
      <c r="A110" t="s" s="3">
        <v>108</v>
      </c>
      <c r="B110" t="n" s="5">
        <f>6405.34</f>
        <v>0.0</v>
      </c>
      <c r="C110" t="n" s="5">
        <f>1000.00</f>
        <v>0.0</v>
      </c>
      <c r="D110" t="n" s="5">
        <f>(B110)-(C110)</f>
        <v>0.0</v>
      </c>
      <c r="E110" t="n" s="6">
        <f>IF(C110=0,"",(B110)/(C110))</f>
        <v>0.0</v>
      </c>
    </row>
    <row r="111">
      <c r="A111" t="s" s="3">
        <v>109</v>
      </c>
      <c r="B111" t="n" s="5">
        <f>9940.00</f>
        <v>0.0</v>
      </c>
      <c r="C111" t="n" s="5">
        <f>5000.00</f>
        <v>0.0</v>
      </c>
      <c r="D111" t="n" s="5">
        <f>(B111)-(C111)</f>
        <v>0.0</v>
      </c>
      <c r="E111" t="n" s="6">
        <f>IF(C111=0,"",(B111)/(C111))</f>
        <v>0.0</v>
      </c>
    </row>
    <row r="112">
      <c r="A112" t="s" s="3">
        <v>110</v>
      </c>
      <c r="B112" t="n" s="7">
        <f>(((((((((((B100)+(B101))+(B102))+(B103))+(B104))+(B105))+(B106))+(B107))+(B108))+(B109))+(B110))+(B111)</f>
        <v>0.0</v>
      </c>
      <c r="C112" t="n" s="7">
        <f>(((((((((((C100)+(C101))+(C102))+(C103))+(C104))+(C105))+(C106))+(C107))+(C108))+(C109))+(C110))+(C111)</f>
        <v>0.0</v>
      </c>
      <c r="D112" t="n" s="7">
        <f>(B112)-(C112)</f>
        <v>0.0</v>
      </c>
      <c r="E112" t="n" s="8">
        <f>IF(C112=0,"",(B112)/(C112))</f>
        <v>0.0</v>
      </c>
    </row>
    <row r="113">
      <c r="A113" t="s" s="3">
        <v>111</v>
      </c>
      <c r="B113" s="4"/>
      <c r="C113" s="4"/>
      <c r="D113" t="n" s="5">
        <f>(B113)-(C113)</f>
        <v>0.0</v>
      </c>
      <c r="E113" t="n" s="6">
        <f>IF(C113=0,"",(B113)/(C113))</f>
        <v>0.0</v>
      </c>
    </row>
    <row r="114">
      <c r="A114" t="s" s="3">
        <v>112</v>
      </c>
      <c r="B114" t="n" s="5">
        <f>9855.38</f>
        <v>0.0</v>
      </c>
      <c r="C114" t="n" s="5">
        <f>10000.00</f>
        <v>0.0</v>
      </c>
      <c r="D114" t="n" s="5">
        <f>(B114)-(C114)</f>
        <v>0.0</v>
      </c>
      <c r="E114" t="n" s="6">
        <f>IF(C114=0,"",(B114)/(C114))</f>
        <v>0.0</v>
      </c>
    </row>
    <row r="115">
      <c r="A115" t="s" s="3">
        <v>113</v>
      </c>
      <c r="B115" t="n" s="5">
        <f>3070.32</f>
        <v>0.0</v>
      </c>
      <c r="C115" t="n" s="5">
        <f>3000.00</f>
        <v>0.0</v>
      </c>
      <c r="D115" t="n" s="5">
        <f>(B115)-(C115)</f>
        <v>0.0</v>
      </c>
      <c r="E115" t="n" s="6">
        <f>IF(C115=0,"",(B115)/(C115))</f>
        <v>0.0</v>
      </c>
    </row>
    <row r="116">
      <c r="A116" t="s" s="3">
        <v>114</v>
      </c>
      <c r="B116" t="n" s="7">
        <f>((B113)+(B114))+(B115)</f>
        <v>0.0</v>
      </c>
      <c r="C116" t="n" s="7">
        <f>((C113)+(C114))+(C115)</f>
        <v>0.0</v>
      </c>
      <c r="D116" t="n" s="7">
        <f>(B116)-(C116)</f>
        <v>0.0</v>
      </c>
      <c r="E116" t="n" s="8">
        <f>IF(C116=0,"",(B116)/(C116))</f>
        <v>0.0</v>
      </c>
    </row>
    <row r="117">
      <c r="A117" t="s" s="3">
        <v>115</v>
      </c>
      <c r="B117" t="n" s="7">
        <f>(((((((((B59)+(B64))+(B68))+(B72))+(B76))+(B87))+(B93))+(B99))+(B112))+(B116)</f>
        <v>0.0</v>
      </c>
      <c r="C117" t="n" s="7">
        <f>(((((((((C59)+(C64))+(C68))+(C72))+(C76))+(C87))+(C93))+(C99))+(C112))+(C116)</f>
        <v>0.0</v>
      </c>
      <c r="D117" t="n" s="7">
        <f>(B117)-(C117)</f>
        <v>0.0</v>
      </c>
      <c r="E117" t="n" s="8">
        <f>IF(C117=0,"",(B117)/(C117))</f>
        <v>0.0</v>
      </c>
    </row>
    <row r="118">
      <c r="A118" t="s" s="3">
        <v>116</v>
      </c>
      <c r="B118" t="n" s="7">
        <f>(B52)-(B117)</f>
        <v>0.0</v>
      </c>
      <c r="C118" t="n" s="7">
        <f>(C52)-(C117)</f>
        <v>0.0</v>
      </c>
      <c r="D118" t="n" s="7">
        <f>(B118)-(C118)</f>
        <v>0.0</v>
      </c>
      <c r="E118" t="n" s="8">
        <f>IF(C118=0,"",(B118)/(C118))</f>
        <v>0.0</v>
      </c>
    </row>
    <row r="119">
      <c r="A119" t="s" s="3">
        <v>117</v>
      </c>
      <c r="B119" s="4"/>
      <c r="C119" s="4"/>
      <c r="D119" s="4"/>
      <c r="E119" s="4"/>
    </row>
    <row r="120">
      <c r="A120" t="s" s="3">
        <v>118</v>
      </c>
      <c r="B120" s="4"/>
      <c r="C120" s="4"/>
      <c r="D120" t="n" s="5">
        <f>(B120)-(C120)</f>
        <v>0.0</v>
      </c>
      <c r="E120" t="n" s="6">
        <f>IF(C120=0,"",(B120)/(C120))</f>
        <v>0.0</v>
      </c>
    </row>
    <row r="121">
      <c r="A121" t="s" s="3">
        <v>119</v>
      </c>
      <c r="B121" t="n" s="5">
        <f>25356.31</f>
        <v>0.0</v>
      </c>
      <c r="C121" s="4"/>
      <c r="D121" t="n" s="5">
        <f>(B121)-(C121)</f>
        <v>0.0</v>
      </c>
      <c r="E121" t="n" s="6">
        <f>IF(C121=0,"",(B121)/(C121))</f>
        <v>0.0</v>
      </c>
    </row>
    <row r="122">
      <c r="A122" t="s" s="3">
        <v>120</v>
      </c>
      <c r="B122" t="n" s="5">
        <f>1011.18</f>
        <v>0.0</v>
      </c>
      <c r="C122" s="4"/>
      <c r="D122" t="n" s="5">
        <f>(B122)-(C122)</f>
        <v>0.0</v>
      </c>
      <c r="E122" t="n" s="6">
        <f>IF(C122=0,"",(B122)/(C122))</f>
        <v>0.0</v>
      </c>
    </row>
    <row r="123">
      <c r="A123" t="s" s="3">
        <v>121</v>
      </c>
      <c r="B123" t="n" s="5">
        <f>34300.00</f>
        <v>0.0</v>
      </c>
      <c r="C123" t="n" s="5">
        <f>34185.00</f>
        <v>0.0</v>
      </c>
      <c r="D123" t="n" s="5">
        <f>(B123)-(C123)</f>
        <v>0.0</v>
      </c>
      <c r="E123" t="n" s="6">
        <f>IF(C123=0,"",(B123)/(C123))</f>
        <v>0.0</v>
      </c>
    </row>
    <row r="124">
      <c r="A124" t="s" s="3">
        <v>122</v>
      </c>
      <c r="B124" t="n" s="5">
        <f>3009.52</f>
        <v>0.0</v>
      </c>
      <c r="C124" s="4"/>
      <c r="D124" t="n" s="5">
        <f>(B124)-(C124)</f>
        <v>0.0</v>
      </c>
      <c r="E124" t="n" s="6">
        <f>IF(C124=0,"",(B124)/(C124))</f>
        <v>0.0</v>
      </c>
    </row>
    <row r="125">
      <c r="A125" t="s" s="3">
        <v>123</v>
      </c>
      <c r="B125" t="n" s="5">
        <f>23883.28</f>
        <v>0.0</v>
      </c>
      <c r="C125" s="4"/>
      <c r="D125" t="n" s="5">
        <f>(B125)-(C125)</f>
        <v>0.0</v>
      </c>
      <c r="E125" t="n" s="6">
        <f>IF(C125=0,"",(B125)/(C125))</f>
        <v>0.0</v>
      </c>
    </row>
    <row r="126">
      <c r="A126" t="s" s="3">
        <v>124</v>
      </c>
      <c r="B126" s="4"/>
      <c r="C126" t="n" s="5">
        <f>0.00</f>
        <v>0.0</v>
      </c>
      <c r="D126" t="n" s="5">
        <f>(B126)-(C126)</f>
        <v>0.0</v>
      </c>
      <c r="E126" t="n" s="6">
        <f>IF(C126=0,"",(B126)/(C126))</f>
        <v>0.0</v>
      </c>
    </row>
    <row r="127">
      <c r="A127" t="s" s="3">
        <v>125</v>
      </c>
      <c r="B127" t="n" s="5">
        <f>63096.59</f>
        <v>0.0</v>
      </c>
      <c r="C127" s="4"/>
      <c r="D127" t="n" s="5">
        <f>(B127)-(C127)</f>
        <v>0.0</v>
      </c>
      <c r="E127" t="n" s="6">
        <f>IF(C127=0,"",(B127)/(C127))</f>
        <v>0.0</v>
      </c>
    </row>
    <row r="128">
      <c r="A128" t="s" s="3">
        <v>126</v>
      </c>
      <c r="B128" t="n" s="7">
        <f>(((((((B120)+(B121))+(B122))+(B123))+(B124))+(B125))+(B126))+(B127)</f>
        <v>0.0</v>
      </c>
      <c r="C128" t="n" s="7">
        <f>(((((((C120)+(C121))+(C122))+(C123))+(C124))+(C125))+(C126))+(C127)</f>
        <v>0.0</v>
      </c>
      <c r="D128" t="n" s="7">
        <f>(B128)-(C128)</f>
        <v>0.0</v>
      </c>
      <c r="E128" t="n" s="8">
        <f>IF(C128=0,"",(B128)/(C128))</f>
        <v>0.0</v>
      </c>
    </row>
    <row r="129">
      <c r="A129" t="s" s="3">
        <v>127</v>
      </c>
      <c r="B129" t="n" s="7">
        <f>B128</f>
        <v>0.0</v>
      </c>
      <c r="C129" t="n" s="7">
        <f>C128</f>
        <v>0.0</v>
      </c>
      <c r="D129" t="n" s="7">
        <f>(B129)-(C129)</f>
        <v>0.0</v>
      </c>
      <c r="E129" t="n" s="8">
        <f>IF(C129=0,"",(B129)/(C129))</f>
        <v>0.0</v>
      </c>
    </row>
    <row r="130">
      <c r="A130" t="s" s="3">
        <v>128</v>
      </c>
      <c r="B130" s="4"/>
      <c r="C130" s="4"/>
      <c r="D130" s="4"/>
      <c r="E130" s="4"/>
    </row>
    <row r="131">
      <c r="A131" t="s" s="3">
        <v>129</v>
      </c>
      <c r="B131" t="n" s="5">
        <f>0.00</f>
        <v>0.0</v>
      </c>
      <c r="C131" s="4"/>
      <c r="D131" t="n" s="5">
        <f>(B131)-(C131)</f>
        <v>0.0</v>
      </c>
      <c r="E131" t="n" s="6">
        <f>IF(C131=0,"",(B131)/(C131))</f>
        <v>0.0</v>
      </c>
    </row>
    <row r="132">
      <c r="A132" t="s" s="3">
        <v>130</v>
      </c>
      <c r="B132" t="n" s="5">
        <f>298.01</f>
        <v>0.0</v>
      </c>
      <c r="C132" s="4"/>
      <c r="D132" t="n" s="5">
        <f>(B132)-(C132)</f>
        <v>0.0</v>
      </c>
      <c r="E132" t="n" s="6">
        <f>IF(C132=0,"",(B132)/(C132))</f>
        <v>0.0</v>
      </c>
    </row>
    <row r="133">
      <c r="A133" t="s" s="3">
        <v>131</v>
      </c>
      <c r="B133" t="n" s="5">
        <f>85882.80</f>
        <v>0.0</v>
      </c>
      <c r="C133" s="4"/>
      <c r="D133" t="n" s="5">
        <f>(B133)-(C133)</f>
        <v>0.0</v>
      </c>
      <c r="E133" t="n" s="6">
        <f>IF(C133=0,"",(B133)/(C133))</f>
        <v>0.0</v>
      </c>
    </row>
    <row r="134">
      <c r="A134" t="s" s="3">
        <v>132</v>
      </c>
      <c r="B134" t="n" s="5">
        <f>64301.37</f>
        <v>0.0</v>
      </c>
      <c r="C134" s="4"/>
      <c r="D134" t="n" s="5">
        <f>(B134)-(C134)</f>
        <v>0.0</v>
      </c>
      <c r="E134" t="n" s="6">
        <f>IF(C134=0,"",(B134)/(C134))</f>
        <v>0.0</v>
      </c>
    </row>
    <row r="135">
      <c r="A135" t="s" s="3">
        <v>133</v>
      </c>
      <c r="B135" t="n" s="7">
        <f>(((B131)+(B132))+(B133))+(B134)</f>
        <v>0.0</v>
      </c>
      <c r="C135" t="n" s="7">
        <f>(((C131)+(C132))+(C133))+(C134)</f>
        <v>0.0</v>
      </c>
      <c r="D135" t="n" s="7">
        <f>(B135)-(C135)</f>
        <v>0.0</v>
      </c>
      <c r="E135" t="n" s="8">
        <f>IF(C135=0,"",(B135)/(C135))</f>
        <v>0.0</v>
      </c>
    </row>
    <row r="136">
      <c r="A136" t="s" s="3">
        <v>134</v>
      </c>
      <c r="B136" t="n" s="7">
        <f>B135</f>
        <v>0.0</v>
      </c>
      <c r="C136" t="n" s="7">
        <f>C135</f>
        <v>0.0</v>
      </c>
      <c r="D136" t="n" s="7">
        <f>(B136)-(C136)</f>
        <v>0.0</v>
      </c>
      <c r="E136" t="n" s="8">
        <f>IF(C136=0,"",(B136)/(C136))</f>
        <v>0.0</v>
      </c>
    </row>
    <row r="137">
      <c r="A137" t="s" s="3">
        <v>135</v>
      </c>
      <c r="B137" t="n" s="7">
        <f>(B129)-(B136)</f>
        <v>0.0</v>
      </c>
      <c r="C137" t="n" s="7">
        <f>(C129)-(C136)</f>
        <v>0.0</v>
      </c>
      <c r="D137" t="n" s="7">
        <f>(B137)-(C137)</f>
        <v>0.0</v>
      </c>
      <c r="E137" t="n" s="8">
        <f>IF(C137=0,"",(B137)/(C137))</f>
        <v>0.0</v>
      </c>
    </row>
    <row r="138">
      <c r="A138" t="s" s="3">
        <v>136</v>
      </c>
      <c r="B138" t="n" s="9">
        <f>(B118)+(B137)</f>
        <v>0.0</v>
      </c>
      <c r="C138" t="n" s="9">
        <f>(C118)+(C137)</f>
        <v>0.0</v>
      </c>
      <c r="D138" t="n" s="9">
        <f>(B138)-(C138)</f>
        <v>0.0</v>
      </c>
      <c r="E138" t="n" s="10">
        <f>IF(C138=0,"",(B138)/(C138))</f>
        <v>0.0</v>
      </c>
    </row>
    <row r="139">
      <c r="A139" s="3"/>
      <c r="B139" s="4"/>
      <c r="C139" s="4"/>
      <c r="D139" s="4"/>
      <c r="E139" s="4"/>
    </row>
    <row r="142">
      <c r="A142" s="11" t="s">
        <v>137</v>
      </c>
      <c r="B142"/>
      <c r="C142"/>
      <c r="D142"/>
      <c r="E142"/>
    </row>
  </sheetData>
  <mergeCells count="5">
    <mergeCell ref="B5:E5"/>
    <mergeCell ref="A142:E142"/>
    <mergeCell ref="A1:E1"/>
    <mergeCell ref="A2:E2"/>
    <mergeCell ref="A3:E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2026-06-19T00:23:15Z</dcterms:created>
  <dc:creator>Apache POI</dc:creator>
</cp:coreProperties>
</file>